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智能竞品" sheetId="2" r:id="rId4"/>
    <sheet name="传统盔" sheetId="3" r:id="rId5"/>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yyyy/MM/dd"/>
  </numFmts>
  <fonts count="3">
    <font>
      <sz val="11"/>
      <color theme="1"/>
      <name val="DengXian"/>
      <family val="2"/>
    </font>
    <font>
      <sz val="10"/>
      <color/>
      <name val="Calibri"/>
      <family val="2"/>
    </font>
    <font>
      <u val="single"/>
      <sz val="11"/>
      <color rgb="FF0000FF"/>
      <name val="DengXian"/>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true" applyAlignment="true">
      <alignment vertical="center"/>
    </xf>
    <xf numFmtId="0" fontId="2" fillId="0" borderId="0" xfId="0" applyFont="true" applyAlignment="false">
      <alignment/>
    </xf>
    <xf numFmtId="164" fontId="0" fillId="0" borderId="0" xfId="0" applyNumberForma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 min="26" max="26" width="19" customWidth="1"/>
    <col min="27" max="27" width="19" customWidth="1"/>
    <col min="28" max="28" width="19" customWidth="1"/>
    <col min="29" max="29" width="19" customWidth="1"/>
    <col min="30" max="30" width="19" customWidth="1"/>
    <col min="31" max="31" width="19" customWidth="1"/>
    <col min="32" max="32" width="19" customWidth="1"/>
    <col min="33" max="33" width="19" customWidth="1"/>
    <col min="34" max="34" width="19" customWidth="1"/>
    <col min="35" max="35" width="19" customWidth="1"/>
    <col min="36" max="36" width="19" customWidth="1"/>
    <col min="37" max="37" width="19" customWidth="1"/>
    <col min="38" max="38" width="19" customWidth="1"/>
    <col min="39" max="39" width="19" customWidth="1"/>
    <col min="40" max="40" width="19" customWidth="1"/>
    <col min="41" max="41" width="19" customWidth="1"/>
    <col min="42" max="42" width="19" customWidth="1"/>
  </cols>
  <sheetData>
    <row r="1" ht="13" customHeight="1">
      <c r="A1" s="1" t="inlineStr">
        <is>
          <t>竞品名称</t>
        </is>
      </c>
      <c r="B1" s="1" t="inlineStr">
        <is>
          <t>调研优先级</t>
        </is>
      </c>
      <c r="C1" s="1" t="inlineStr">
        <is>
          <t>评级</t>
        </is>
      </c>
      <c r="D1" s="1" t="inlineStr">
        <is>
          <t>品类</t>
        </is>
      </c>
      <c r="E1" s="1" t="inlineStr">
        <is>
          <t>竞品类别</t>
        </is>
      </c>
      <c r="F1" s="1" t="inlineStr">
        <is>
          <t>上市时间</t>
        </is>
      </c>
      <c r="G1" s="1" t="inlineStr">
        <is>
          <t>品牌</t>
        </is>
      </c>
      <c r="H1" s="1" t="inlineStr">
        <is>
          <t>产品站/官网</t>
        </is>
      </c>
      <c r="I1" s="1" t="inlineStr">
        <is>
          <t>核心卖点</t>
        </is>
      </c>
      <c r="J1" s="1" t="inlineStr">
        <is>
          <t>主销区域/国家</t>
        </is>
      </c>
      <c r="K1" s="1" t="inlineStr">
        <is>
          <t>目标人群</t>
        </is>
      </c>
      <c r="L1" s="1" t="inlineStr">
        <is>
          <t>售价（人民币）</t>
        </is>
      </c>
      <c r="M1" s="1" t="inlineStr">
        <is>
          <t>销售渠道</t>
        </is>
      </c>
      <c r="N1" s="1" t="inlineStr">
        <is>
          <t>销售增长数据（若有）</t>
        </is>
      </c>
      <c r="O1" s="1" t="inlineStr">
        <is>
          <t>ID设计</t>
        </is>
      </c>
      <c r="P1" s="1" t="inlineStr">
        <is>
          <t>SKU 尺寸 &amp; 配色</t>
        </is>
      </c>
      <c r="Q1" s="1" t="inlineStr">
        <is>
          <t>材质</t>
        </is>
      </c>
      <c r="R1" s="1" t="inlineStr">
        <is>
          <t>重量</t>
        </is>
      </c>
      <c r="S1" s="1" t="inlineStr">
        <is>
          <t>安全认证</t>
        </is>
      </c>
      <c r="T1" s="1" t="inlineStr">
        <is>
          <t>芯片</t>
        </is>
      </c>
      <c r="U1" s="1" t="inlineStr">
        <is>
          <t>算力</t>
        </is>
      </c>
      <c r="V1" s="1" t="inlineStr">
        <is>
          <t>存储</t>
        </is>
      </c>
      <c r="W1" s="1" t="inlineStr">
        <is>
          <t>显示模组 &amp; 亮度</t>
        </is>
      </c>
      <c r="X1" s="1" t="inlineStr">
        <is>
          <t>系统</t>
        </is>
      </c>
      <c r="Y1" s="1" t="inlineStr">
        <is>
          <t>扬声器 &amp; 麦克风</t>
        </is>
      </c>
      <c r="Z1" s="1" t="inlineStr">
        <is>
          <t>通讯模组</t>
        </is>
      </c>
      <c r="AA1" s="1" t="inlineStr">
        <is>
          <t>摄像头</t>
        </is>
      </c>
      <c r="AB1" s="1" t="inlineStr">
        <is>
          <t>电池类型 &amp; 容量 &amp; 续航</t>
        </is>
      </c>
      <c r="AC1" s="1" t="inlineStr">
        <is>
          <t>其他传感器</t>
        </is>
      </c>
      <c r="AD1" s="1" t="inlineStr">
        <is>
          <t>主要供应商</t>
        </is>
      </c>
      <c r="AE1" s="1" t="inlineStr">
        <is>
          <t>核心功能</t>
        </is>
      </c>
      <c r="AF1" s="1" t="inlineStr">
        <is>
          <t>屏幕UI/UX截图</t>
        </is>
      </c>
      <c r="AG1" s="1" t="inlineStr">
        <is>
          <t>App界面截图</t>
        </is>
      </c>
      <c r="AH1" s="1" t="inlineStr">
        <is>
          <t>语音助手/模型</t>
        </is>
      </c>
      <c r="AI1" s="1" t="inlineStr">
        <is>
          <t>盲操交互截图（按键/手势）</t>
        </is>
      </c>
      <c r="AJ1" s="1" t="inlineStr">
        <is>
          <t>核心好评</t>
        </is>
      </c>
      <c r="AK1" s="1" t="inlineStr">
        <is>
          <t>核心差评</t>
        </is>
      </c>
      <c r="AL1" s="1" t="inlineStr">
        <is>
          <t>相关资料链接</t>
        </is>
      </c>
      <c r="AM1" s="1" t="inlineStr">
        <is>
          <t>补充</t>
        </is>
      </c>
      <c r="AN1" s="1" t="inlineStr">
        <is>
          <t>总结和建议</t>
        </is>
      </c>
      <c r="AO1" s="1" t="inlineStr">
        <is>
          <t>调研人员</t>
        </is>
      </c>
      <c r="AP1" s="1" t="inlineStr">
        <is>
          <t>Todo</t>
        </is>
      </c>
    </row>
    <row r="2" ht="25.5" customHeight="1">
      <c r="A2" t="inlineStr">
        <is>
          <t>GT‑Air 3 Smart+Eyelights</t>
        </is>
      </c>
      <c r="B2" t="inlineStr">
        <is>
          <t>P0</t>
        </is>
      </c>
      <c r="C2" t="inlineStr">
        <is>
          <t>A（已购）</t>
        </is>
      </c>
      <c r="D2" t="inlineStr">
        <is>
          <t>智能头盔</t>
        </is>
      </c>
      <c r="E2" t="inlineStr">
        <is>
          <t>直接竞品</t>
        </is>
      </c>
      <c r="F2" t="inlineStr">
        <is>
          <t>2026 年 6 月</t>
        </is>
      </c>
      <c r="G2" t="inlineStr">
        <is>
          <t>Shoei</t>
        </is>
      </c>
      <c r="H2" s="2" t="str">
        <f>=HYPERLINK("https://eye-lights.com/en/products/gt-air3smart?variant=52103185006928&amp;selling_plan=689850286416", "https://eye-lights.com/en/products/gt-air3smart?variant=52103185006928&amp;selling_plan=689850286416")</f>
        <v>https://eye-lights.com/en/products/gt-air3smart?variant=52103185006928&amp;selling_plan=689850286416</v>
      </c>
      <c r="I2" t="inlineStr">
        <is>
          <t>1. 全球首款原厂集成 AR HUD 头盔
2. 安全提升：无需低头看仪表 / 手机，官方称缩短反应时间超 32%
3. 全场景通信：跨品牌 Mesh 对讲、主动降噪、语音助手，全程免提操作。</t>
        </is>
      </c>
      <c r="J2" t="inlineStr">
        <is>
          <t>欧洲、北美、澳洲</t>
        </is>
      </c>
      <c r="K2" t="inlineStr">
        <is>
          <t>面向长途旅行的高端全盔</t>
        </is>
      </c>
      <c r="L2" t="inlineStr">
        <is>
          <t>10296</t>
        </is>
      </c>
      <c r="M2" t="inlineStr">
        <is>
          <t>Shoei 全球官网、EyeLights 官网
2025 年 11 月 EICMA 米兰展现场预售
线上平台欧美：RevZilla、FortNine、Amazon 等专业摩托电商
授权经销商</t>
        </is>
      </c>
      <c r="N2" t="inlineStr">
        <is>
          <t>#没有上市则获取曝光热度数据。</t>
        </is>
      </c>
      <c r="O2" t="inlineStr">
        <is>
          <t>image.png,image.png,image.png</t>
        </is>
      </c>
      <c r="P2" t="inlineStr">
        <is>
          <t>S‑XXL，5 种配色（白、哑光黑、哑光金属蓝、哑光金属灰、Realm TC‑10）</t>
        </is>
      </c>
      <c r="Q2" t="inlineStr">
        <is>
          <t>外壳：Shoei AIM 多层复合材质
内衬：EPS
外镜片（CNS‑1C）
内置遮阳片（QSV‑2）
https://www.techeblog.com/shoei-gt-air-3-smart-helmet-hud/</t>
        </is>
      </c>
      <c r="R2" t="inlineStr">
        <is>
          <t>略重于GT‑Air 3（标准版约 1.77kg）</t>
        </is>
      </c>
      <c r="S2" t="inlineStr">
        <is>
          <t>DOT、ECE 22.06</t>
        </is>
      </c>
      <c r="T2" t="inlineStr">
        <is>
          <t>未公开具体型号；EyeLights 定制化嵌入式 SoC，集成 HUD 驱动、通信、语音处理</t>
        </is>
      </c>
      <c r="U2"/>
      <c r="V2"/>
      <c r="W2" t="inlineStr">
        <is>
          <t>FHD Nano OLED HUD
3000尼特</t>
        </is>
      </c>
      <c r="X2" t="inlineStr">
        <is>
          <t>RTOS</t>
        </is>
      </c>
      <c r="Y2" t="inlineStr">
        <is>
          <t>Sonix R1 蓝牙 4.2、HD 立体声、主动降噪麦克风</t>
        </is>
      </c>
      <c r="Z2" t="inlineStr">
        <is>
          <t>蓝牙 5.0
全域 Mesh 对讲（无限距离、跨品牌兼容），在线 / 离线双模式</t>
        </is>
      </c>
      <c r="AA2" t="inlineStr">
        <is>
          <t>无</t>
        </is>
      </c>
      <c r="AB2" t="inlineStr">
        <is>
          <t>10 小时以上 
混合使用（包括平视显示器、音乐和群聊）的情况下</t>
        </is>
      </c>
      <c r="AC2" t="inlineStr">
        <is>
          <t>加速度 / 陀螺仪 / 地磁 / GPS</t>
        </is>
      </c>
      <c r="AD2" t="inlineStr">
        <is>
          <t>AR‑HUD 整体方案：EyeLights（法国）
Nano‑OLED 显示面板：Sony
AR 光学模组：耐德佳（NED+，中国）</t>
        </is>
      </c>
      <c r="AE2" t="inlineStr">
        <is>
          <t>车速、导航、来电、雷达 / 测速预警</t>
        </is>
      </c>
      <c r="AF2" t="inlineStr">
        <is>
          <t>image.png,image.png,image.png,image.png,image.png</t>
        </is>
      </c>
      <c r="AG2"/>
      <c r="AH2" t="inlineStr">
        <is>
          <t xml:space="preserve">Siri/Google </t>
        </is>
      </c>
      <c r="AI2"/>
      <c r="AJ2" t="inlineStr">
        <is>
          <t>价格划算</t>
        </is>
      </c>
      <c r="AK2"/>
      <c r="AL2" t="inlineStr">
        <is>
          <t>核心功能：https://www.eicma.it/en/gt-air-3-smart-born-from-the-collaboration-between-eyelights-and-shoei/
用户群体定位：https://www.shoei.com/products/helmet/fullface/gt-air_3/
用户评论：https://newatlas.com/motorcycles/shoei-eyelights-ai-helmet/</t>
        </is>
      </c>
      <c r="AM2" t="inlineStr">
        <is>
          <t>SHOEI 全盔中唯一的旅行向型号。
用户评论：能增加红外摄像可以看到夜间鹿群穿越，它们常常站在高速公路旁，给骑手带来极大危险。</t>
        </is>
      </c>
      <c r="AN2" t="inlineStr">
        <is>
          <t>👍 优势
品牌背书：Shoei 高端头盔 + EyeLights。
高速行驶时会隐藏非必要信息，优先显示诸如后方有车辆尾随等通知。
👎 劣势
系统封闭：生态依赖 EyeLights，难接入第三方 AI / 能力。
供应链复杂：依赖法国 + 日本 + 中国多家供应商
🌟 机会点
1.高端智能头盔仍空白，可做平价版一体化 HUD 方案。
2. AI 语音助手
3. 开放生态：接入地图、音乐、车机互联、骑行 APP。</t>
        </is>
      </c>
      <c r="AO2" t="inlineStr">
        <is>
          <t>邓琤</t>
        </is>
      </c>
      <c r="AP2" t="inlineStr">
        <is>
          <t>待研究，设计、体验、雷达</t>
        </is>
      </c>
    </row>
    <row r="3" ht="25.5" customHeight="1">
      <c r="A3" t="inlineStr">
        <is>
          <t>Shoei Opticson</t>
        </is>
      </c>
      <c r="B3" t="inlineStr">
        <is>
          <t>P0</t>
        </is>
      </c>
      <c r="C3" t="inlineStr">
        <is>
          <t>已购</t>
        </is>
      </c>
      <c r="D3" t="inlineStr">
        <is>
          <t>智能头盔</t>
        </is>
      </c>
      <c r="E3" t="inlineStr">
        <is>
          <t>直接竞品</t>
        </is>
      </c>
      <c r="F3" t="inlineStr">
        <is>
          <t>2022年4月：在大阪摩托车展首次以原型机公开
2022年11月17日：正式发布量产版（日本）
2022年12月17日：开始接受订购（日本限定）</t>
        </is>
      </c>
      <c r="G3" t="inlineStr">
        <is>
          <t>Shoei</t>
        </is>
      </c>
      <c r="H3" s="2" t="str">
        <f>=HYPERLINK("https://www.shoei.com/products/helmet/fullface/opticson/?utm_source=chatgpt.com", "https://www.shoei.com/products/helmet/fullface/opticson/?utm_source=chatgpt.com")</f>
        <v>https://www.shoei.com/products/helmet/fullface/opticson/?utm_source=chatgpt.com</v>
      </c>
      <c r="I3" t="inlineStr">
        <is>
          <t>通过蓝牙将智能手机连接到HUD（抬头显示器）。最大限度减少操作的同时提供丰富的信息，从而提升主动安全性。</t>
        </is>
      </c>
      <c r="J3" t="inlineStr">
        <is>
          <t>仅在日本 Shoei Gallery 门店销售（东京/大阪/横滨/京都）
限量发售
必须线下定制贴合（PFS）</t>
        </is>
      </c>
      <c r="K3"/>
      <c r="L3" t="inlineStr">
        <is>
          <t>7800</t>
        </is>
      </c>
      <c r="M3" t="inlineStr">
        <is>
          <t>日本SHOEI Gallery + 指定技术店</t>
        </is>
      </c>
      <c r="N3" t="inlineStr">
        <is>
          <t>2025年底停产，导航服务至28年底，属于小规模试水产品</t>
        </is>
      </c>
      <c r="O3" t="inlineStr">
        <is>
          <t>image.png</t>
        </is>
      </c>
      <c r="P3" t="inlineStr">
        <is>
          <t>M/L/XL 2种配色（亮白/哑黑）</t>
        </is>
      </c>
      <c r="Q3" t="inlineStr">
        <is>
          <t>外壳采用AIM+结构（玻璃纤维和有机纤维复合层压结构为基础）
CNS-1 面罩采用注塑成型工艺 
全可拆洗 + PFS 定制贴合系统</t>
        </is>
      </c>
      <c r="R3" t="inlineStr">
        <is>
          <t>1786/1797/1859g</t>
        </is>
      </c>
      <c r="S3" t="inlineStr">
        <is>
          <t>DOT/ECE标准/仅 JIS（日本）</t>
        </is>
      </c>
      <c r="T3" t="inlineStr">
        <is>
          <t>未公开具体型号；</t>
        </is>
      </c>
      <c r="U3"/>
      <c r="V3"/>
      <c r="W3" t="inlineStr">
        <is>
          <t>投影式 HUD + 反射 combiner</t>
        </is>
      </c>
      <c r="X3"/>
      <c r="Y3" t="inlineStr">
        <is>
          <t>内置扬声器
自动音量调节（导航时降低音乐） 
无主动降噪</t>
        </is>
      </c>
      <c r="Z3"/>
      <c r="AA3"/>
      <c r="AB3" t="inlineStr">
        <is>
          <t>约 6 小时（HUD 开启）
LiFePO4（磷酸铁锂）</t>
        </is>
      </c>
      <c r="AC3"/>
      <c r="AD3" t="inlineStr">
        <is>
          <t>NS West（核心 Tier 1）
角色：HUD 光学/投影模组/光学调校/HMI 显示逻辑 
背景：汽车仪表 HUD 供应商。Mazda / Daihatsu HUD 经验</t>
        </is>
      </c>
      <c r="AE3" t="inlineStr">
        <is>
          <t>核心依赖 NAVITIME Touring Supporter：
导航数据
路口箭头
剩余距离
ETA
通知信息 
收费模式：
Premium Plus
800 日元 / 月</t>
        </is>
      </c>
      <c r="AF3" t="inlineStr">
        <is>
          <t>image.png,image.png</t>
        </is>
      </c>
      <c r="AG3"/>
      <c r="AH3"/>
      <c r="AI3"/>
      <c r="AJ3" t="inlineStr">
        <is>
          <t>无明确好评，评价中性
-价格勉强能接受，但担心续航
-硬件可以，但订阅收费是问题
-如果能替代对讲机还不错</t>
        </is>
      </c>
      <c r="AK3" t="inlineStr">
        <is>
          <t>-摔一次就不敢再买</t>
        </is>
      </c>
      <c r="AL3" t="inlineStr">
        <is>
          <t>硬件
单目 HUD
蓝牙连接手机
内置音频系统
外置磷酸铁锂电池（安全优先） 
软件
NAVITIME 导航投影
来电显示
时钟
音乐音量自动降低 
不支持
ADAS
摄像头
AR overlay
多应用生态
intercom</t>
        </is>
      </c>
      <c r="AM3" t="inlineStr">
        <is>
          <t>硬件
137,500 日元头盔
11,000 日元电池
软件
NAVITIME 订阅
800 日元 / 月
8,000 日元 / 年 
问题
 用户把订阅视为“负担”
 → 降低购买意愿</t>
        </is>
      </c>
      <c r="AN3" t="inlineStr">
        <is>
          <t>全球首个大厂量产级 HUD 一体盔。工程集成完成度极高
 ✘ 功能单一
 ✘ 软件生态封闭
 ✘ 商业模型失败</t>
        </is>
      </c>
      <c r="AO3" t="inlineStr">
        <is>
          <t>记星</t>
        </is>
      </c>
      <c r="AP3" t="inlineStr">
        <is>
          <t>体验、功能</t>
        </is>
      </c>
    </row>
    <row r="4" ht="25.5" customHeight="1">
      <c r="A4" t="inlineStr">
        <is>
          <t>Forcite MK1S</t>
        </is>
      </c>
      <c r="B4" t="inlineStr">
        <is>
          <t>P0</t>
        </is>
      </c>
      <c r="C4" t="inlineStr">
        <is>
          <t>A</t>
        </is>
      </c>
      <c r="D4" t="inlineStr">
        <is>
          <t>智能头盔</t>
        </is>
      </c>
      <c r="E4" t="inlineStr">
        <is>
          <t>直接竞品</t>
        </is>
      </c>
      <c r="F4" t="inlineStr">
        <is>
          <t>2022年6月起在澳大利亚首发
2022年9月英国发布，同年Q4拓展至欧盟其他国家
2023年7月17日在美国正式发售</t>
        </is>
      </c>
      <c r="G4" t="inlineStr">
        <is>
          <t>Forcite</t>
        </is>
      </c>
      <c r="H4" s="2" t="str">
        <f>=HYPERLINK("https://www.bellissimoto.com/gear/helmets/street-helmets/Forcite-MK1S-Carbon-Fiber-Smart-Helmet", "https://www.bellissimoto.com/gear/helmets/street-helmets/Forcite-MK1S-Carbon-Fiber-Smart-Helmet")</f>
        <v>https://www.bellissimoto.com/gear/helmets/street-helmets/Forcite-MK1S-Carbon-Fiber-Smart-Helmet</v>
      </c>
      <c r="I4" t="inlineStr">
        <is>
          <t>下巴模块专利集成：所有电子元件（摄像头、LED、主板、电池）全部集成在下巴模块，不破坏头盔主体 EPS 缓冲层，不影响安全结构
集成的前置高清摄像头和创新的 LED 阵列，该阵列可提供逐向 GPS 导航、道路危险警报等功能。
Harman Kardon 高端音频系统，8 处通风口，防雾 Pinlock 镜片，内置 UV400 遮阳板
</t>
        </is>
      </c>
      <c r="J4" t="inlineStr">
        <is>
          <t>澳洲、欧洲、北美</t>
        </is>
      </c>
      <c r="K4" t="inlineStr">
        <is>
          <t>追求安全、科技与一体化体验的中高端摩托车玩家</t>
        </is>
      </c>
      <c r="L4" t="inlineStr">
        <is>
          <t>9627</t>
        </is>
      </c>
      <c r="M4" t="inlineStr">
        <is>
          <t>Forcite全球官网
区域独家总代，美国：Tucker Powersports，澳洲：Race and Road
跨境电商平台：Amazon、eBay、eBay Australia、Facebook Marketplace</t>
        </is>
      </c>
      <c r="N4" t="inlineStr">
        <is>
          <t>限量版全球800个</t>
        </is>
      </c>
      <c r="O4" t="inlineStr">
        <is>
          <t>截屏2026-03-04 13.58.48.png,截屏2026-03-03 15.53.35.png,截屏2026-03-03 15.14.41.png,截屏2026-03-03 15.14.29.png</t>
        </is>
      </c>
      <c r="P4" t="inlineStr">
        <is>
          <t>XS-XL，2种配色（哑光黑，亮面黑，限量专属图形涂装）</t>
        </is>
      </c>
      <c r="Q4" t="inlineStr">
        <is>
          <t>外壳：采用T-400碳纤维复合材料
内衬：脸颊垫和顶部衬里各处采用3D成型泡沫
内置遮阳板:符合UV400标准的可伸缩遮阳板（仅适用于ECE头盔。不包含在DOT/美国头盔中）</t>
        </is>
      </c>
      <c r="R4" t="inlineStr">
        <is>
          <t>1500g ± 50g（XL码重量约1630克）</t>
        </is>
      </c>
      <c r="S4" t="inlineStr">
        <is>
          <t>ECE 22.05（美国DOT FMVSS 218）</t>
        </is>
      </c>
      <c r="T4" t="inlineStr">
        <is>
          <t>未公开具体型号</t>
        </is>
      </c>
      <c r="U4"/>
      <c r="V4" t="inlineStr">
        <is>
          <t>SD卡外置存储，标配64GB，最高1T</t>
        </is>
      </c>
      <c r="W4" t="inlineStr">
        <is>
          <t>专利外围LED显示屏，集成HUD投影，时速、导航信息投射于镜片内侧，视角偏移≤15°。</t>
        </is>
      </c>
      <c r="X4" t="inlineStr">
        <is>
          <t>RTOS</t>
        </is>
      </c>
      <c r="Y4" t="inlineStr">
        <is>
          <t>Harman Kardon 40mm、双集成麦克风，主打风噪抑制 + 通话清晰</t>
        </is>
      </c>
      <c r="Z4" t="inlineStr">
        <is>
          <t>支持蓝牙，没有内置对讲机系统</t>
        </is>
      </c>
      <c r="AA4" t="inlineStr">
        <is>
          <t>有（1080p 60帧）</t>
        </is>
      </c>
      <c r="AB4" t="inlineStr">
        <is>
          <t>在使用除摄像头外的所有智能功能时，电池续航时间7小时左右，使用内置电池拍摄，相机大约可以录制2小时
通过USB-C接口充电大约需要90分钟。</t>
        </is>
      </c>
      <c r="AC4" t="inlineStr">
        <is>
          <t>环境光传感器自动调亮度</t>
        </is>
      </c>
      <c r="AD4" t="inlineStr">
        <is>
          <t>头盔制造商：高进工业
产地：外壳在越南制造，电子模块在台湾制造，最终在澳大利亚组装。
https://www.webbikeworld.com/forcite-mk1s-smart-helmet-review/</t>
        </is>
      </c>
      <c r="AE4" t="inlineStr">
        <is>
          <t>导航转向、测速预警、路况告警、来电、集成行车记录仪</t>
        </is>
      </c>
      <c r="AF4" t="inlineStr">
        <is>
          <t>截屏2026-03-04 20.06.25.png,截屏2026-03-04 20.06.09.png,截屏2026-03-04 20.05.53.png</t>
        </is>
      </c>
      <c r="AG4" t="inlineStr">
        <is>
          <t>截屏2026-03-04 20.07.16.png,截屏2026-03-04 20.07.07.png,截屏2026-03-04 20.06.55.png</t>
        </is>
      </c>
      <c r="AH4" t="inlineStr">
        <is>
          <t xml:space="preserve">Siri/Google </t>
        </is>
      </c>
      <c r="AI4" t="inlineStr">
        <is>
          <t>标配车把蓝牙遥控器，骑行中盲控所有智能功能</t>
        </is>
      </c>
      <c r="AJ4" t="inlineStr">
        <is>
          <t>重量轻、不需要低头看手机、内置下拉式遮阳板的 tint 比普通的更深，且覆盖范围广、电池续航良好，且可在使用时充电，兼容256G存储卡</t>
        </is>
      </c>
      <c r="AK4" t="inlineStr">
        <is>
          <t>无蓝牙或MESH对讲机功能，必须使用手机数据或电话与朋友交流
RAYDAR预警在识别道路上的危险时缺乏稳定的准确性。
下巴护板接口上的LED灯在强光下不易看清
iPhone用户需要购买一个40美元的相机适配器才能将视频下载到手机上，而且头盔不包含存储卡。</t>
        </is>
      </c>
      <c r="AL4" t="inlineStr">
        <is>
          <t>用户测评https://www.webbikeworld.com/forcite-mk1s-smart-helmet-review/
https://www.roadrunner.travel/products/review-forcite-mk1s-smart-helmet/</t>
        </is>
      </c>
      <c r="AM4" t="inlineStr">
        <is>
          <t>硬件差异：北美版无内置可伸缩遮阳镜，国际版标配 UV400 可伸缩内置遮阳镜
北美版不具备 ECE 认证；国际版不具备 DOT 认证，跨区使用可能不合规
GoPro 收购整个公司1400 万美元</t>
        </is>
      </c>
      <c r="AN4" t="inlineStr">
        <is>
          <t>优势：一体化智能集成，车把蓝牙控制器：盲操作友好，支持导航、通话、录像启停。
App 功能完善：可预览 / 导出录像、自定义 LED 提示、OTA 升级。
劣势：
摄像头无电子防抖，颠簸路面视频抖动明显
风噪大，高速骑行噪音明显，需耳塞但会影响听扬声器。
无语音控制：操作依赖物理按键，高速骑行不够安全。</t>
        </is>
      </c>
      <c r="AO4" t="inlineStr">
        <is>
          <t>乔雅楠</t>
        </is>
      </c>
      <c r="AP4" t="inlineStr">
        <is>
          <t>产品定义，硬件集成</t>
        </is>
      </c>
    </row>
    <row r="5" ht="25.5" customHeight="1">
      <c r="A5" t="inlineStr">
        <is>
          <t>Motoeyes M6</t>
        </is>
      </c>
      <c r="B5" t="inlineStr">
        <is>
          <t>P0</t>
        </is>
      </c>
      <c r="C5" t="inlineStr">
        <is>
          <t>A 待买</t>
        </is>
      </c>
      <c r="D5" t="inlineStr">
        <is>
          <t>智能头盔</t>
        </is>
      </c>
      <c r="E5" t="inlineStr">
        <is>
          <t>直接竞品</t>
        </is>
      </c>
      <c r="F5" t="inlineStr">
        <is>
          <t>2023年9月15日，重庆摩博会</t>
        </is>
      </c>
      <c r="G5" t="inlineStr">
        <is>
          <t>MOTOEYE（摩托爱）</t>
        </is>
      </c>
      <c r="H5" s="2" t="str">
        <f>=HYPERLINK("https://www.vidoar.com/", "https://www.vidoar.com/")</f>
        <v>https://www.vidoar.com/</v>
      </c>
      <c r="I5" t="inlineStr">
        <is>
          <t>高透亮 AR HUD（抬头显示）将行车数据悬浮于视线前方；
原生支持无线 Apple CarPlay 与 Android Auto；
集成 1080P 后视摄像头用于消除视野盲区；
搭载具有 AI 神经网络算法的 ADSP 专业降噪系统；
自带三模对讲（Mesh网状、公网蜂窝、无线电对讲）；</t>
        </is>
      </c>
      <c r="J5" t="inlineStr">
        <is>
          <t>面向全球市场发售，主要受众集中在北美、欧洲、中国以及日本市场。在日本市场，其高度同源的 OEM 定制版本由本土品牌 Kaedear 以“KDR-BH2”的型号进行销售 。</t>
        </is>
      </c>
      <c r="K5" t="inlineStr">
        <is>
          <t>长途摩旅（Touring）爱好者、
对科技感要求极高的极客骑手，
以及那些希望彻底摆脱车把手机支架、对行车安全（防低头、防盲区）有极高诉求的用户。</t>
        </is>
      </c>
      <c r="L5" t="inlineStr">
        <is>
          <t>2450</t>
        </is>
      </c>
      <c r="M5" t="inlineStr">
        <is>
          <t>初期通过 Indiegogo 等平台进行全球众筹首发，目前常规销售渠道包括 Motoeye 官方独立站、亚马逊（Amazon）、速卖通（AliExpress）、淘宝，以及跨境电商平台 Ubuy 等经销商网络 。
Kaedear是日本摩托车智能配件的头部品牌。Motoeye在日本地区，以Kaedear品牌名进行销售。</t>
        </is>
      </c>
      <c r="N5"/>
      <c r="O5" t="inlineStr">
        <is>
          <t>image.png,image.png,image.png</t>
        </is>
      </c>
      <c r="P5" t="inlineStr">
        <is>
          <t>主机后方集成可自定义闪烁模式（呼吸、闪烁、常亮）的 RGB 动态氛围灯与主动安全警示尾灯；
主机后方的装饰件，可更换。</t>
        </is>
      </c>
      <c r="Q5" t="inlineStr">
        <is>
          <t>1. 主机：采用高强度塑料材质，兼顾轻量化与防护性
2. 显示模组：OLED 屏幕 + 塑料外壳
3. 遥控器：塑料材质，带有防滑设计</t>
        </is>
      </c>
      <c r="R5" t="inlineStr">
        <is>
          <t>主机带支架重量为 85g，整体设备重量约 90 多克，佩戴在头盔上无明显负重感。</t>
        </is>
      </c>
      <c r="S5" t="inlineStr">
        <is>
          <t xml:space="preserve"> IP66 防水防尘认证，该产品为头盔加装设备，不提供头盔安全认证</t>
        </is>
      </c>
      <c r="T5" t="inlineStr">
        <is>
          <t xml:space="preserve"> 8 核 1.8GHz 处理器</t>
        </is>
      </c>
      <c r="U5"/>
      <c r="V5" t="inlineStr">
        <is>
          <t>1. 内置 RAM 2GB，用于系统运行
2. 支持 TF 卡扩展，最大可支持 256GB，用于存储行车记录视频</t>
        </is>
      </c>
      <c r="W5" t="inlineStr">
        <is>
          <t>Sony Micro OLED 面板结合 AR 自由曲面（Free-form）折射模组；
640x400 分辨率；
10000:1 超高对比度；
 24° 的视场角（FOV）。显示效果等同于在 3 米外看 55 英寸的电视；
具备高透光率与自动亮度调节功能，</t>
        </is>
      </c>
      <c r="X5" t="inlineStr">
        <is>
          <t>Android 固件，
原生兼容 Apple CarPlay、Android Auto 车机协议，
支持智能手机全局屏幕镜像投屏</t>
        </is>
      </c>
      <c r="Y5" t="inlineStr">
        <is>
          <t>40mm 立体声扬声器；
提供软麦和硬麦两种选择，具备降噪功能，用于通话和语音控制，在高速骑行环境下仍能保证清晰的语音采集。</t>
        </is>
      </c>
      <c r="Z5" t="inlineStr">
        <is>
          <t>第二代 Mesh 自组网通讯技术，支持最多 9 人组队；
双模蓝牙模块，支持手机连接，实现音乐播放、通话、导航语音播报等功能；
支持 5GHz &amp; 2.4GHz 双频 WiFi，用于联网导航、OTA 升级和内容同步；</t>
        </is>
      </c>
      <c r="AA5" t="inlineStr">
        <is>
          <t>后置 1080p 30fps 摄像头，120° 广角视野；
支持上下 ±10 度手动调节，可将后方路况实时传输至眼前的 HUD 中充当流媒体后视镜。
同时系统预留了前置摄像头扩展接口模块，支持前后双录功能。</t>
        </is>
      </c>
      <c r="AB5" t="inlineStr">
        <is>
          <t>电池容量 1400mAh，支持扩展 4000mAh 续航模块；
内置电池常规导航模式下可提供约 4 小时续航，搭配扩展电池后，可实现 18 小时连续导航或 8 小时连续视频录制。</t>
        </is>
      </c>
      <c r="AC5" t="inlineStr">
        <is>
          <t>内置高精度 GPS 模块用于独立记录轨迹与车速，
支持连接官方的无线胎压监测传感器</t>
        </is>
      </c>
      <c r="AD5" t="inlineStr">
        <is>
          <t>研发与制造商： 中国西安维度视界科技有限公司
核心元器件： 索尼（Sony Micro OLED 显示面板）、高通（Qualcomm 蓝牙通信基带）</t>
        </is>
      </c>
      <c r="AE5" t="inlineStr">
        <is>
          <t>1、AR 全天候抬头显示
2、无线双端车机互联
3、AI 语音免提控制
4、行车记录取证
5、流媒体后视监控防盲区
6、胎压与车速实时监测 
7、全场景多模态对讲</t>
        </is>
      </c>
      <c r="AF5" t="inlineStr">
        <is>
          <t>image.png,image.png,image.png,image.png</t>
        </is>
      </c>
      <c r="AG5" t="inlineStr">
        <is>
          <t>image.png</t>
        </is>
      </c>
      <c r="AH5" t="inlineStr">
        <is>
          <t xml:space="preserve">摩托摩托/Siri/Google </t>
        </is>
      </c>
      <c r="AI5" t="inlineStr">
        <is>
          <t>车把遥控器采用简洁的按键设计，按键为凸起式，方便骑行时盲操，暂无公开的交互截图，遥控器可实现设备开关、模式切换、音量调节等常用功能的盲操作。</t>
        </is>
      </c>
      <c r="AJ5" t="inlineStr">
        <is>
          <t>HUD 极大地提高了安全性，骑手不再需要频繁低头看油箱包或车把上的手机</t>
        </is>
      </c>
      <c r="AK5" t="inlineStr">
        <is>
          <t>在揭开面罩或在极高时速下，延伸到眼前的屏幕支架会产生轻微震动</t>
        </is>
      </c>
      <c r="AL5" t="inlineStr">
        <is>
          <t>竞品分析 - Motoeye M6</t>
        </is>
      </c>
      <c r="AM5" t="inlineStr">
        <is>
          <t>夜晚摔车场景：爆闪灯可以让别人看到人位置
销售方面：
标准版￥2450；SE版￥1950；SE青春版￥1750；
北美标准版售价$499；
日本售价约￥3900；
另有扩展电池、扩展前置摄像头、胎压监测售卖;
导航方面，支持定制版高德摩托车导航，针对骑行场景进行了优化；</t>
        </is>
      </c>
      <c r="AN5" t="inlineStr">
        <is>
          <t>销售方式可以借鉴；
卖额外配件的方式也可以借鉴；</t>
        </is>
      </c>
      <c r="AO5" t="inlineStr">
        <is>
          <t>李洋</t>
        </is>
      </c>
      <c r="AP5" t="inlineStr">
        <is>
          <t>学习功能</t>
        </is>
      </c>
    </row>
    <row r="6" ht="25.5" customHeight="1">
      <c r="A6" t="inlineStr">
        <is>
          <t>Cardo Beyond GTS</t>
        </is>
      </c>
      <c r="B6" t="inlineStr">
        <is>
          <t>P0</t>
        </is>
      </c>
      <c r="C6" t="inlineStr">
        <is>
          <t>A 待买</t>
        </is>
      </c>
      <c r="D6" t="inlineStr">
        <is>
          <t>智能头盔</t>
        </is>
      </c>
      <c r="E6" t="inlineStr">
        <is>
          <t>直接竞品</t>
        </is>
      </c>
      <c r="F6" t="inlineStr">
        <is>
          <t>预计 2026 年夏天上市</t>
        </is>
      </c>
      <c r="G6" t="inlineStr">
        <is>
          <t>Cardo</t>
        </is>
      </c>
      <c r="H6" s="2" t="str">
        <f>=HYPERLINK("https://cardosystems.com/pages/beyond", "https://cardosystems.com/pages/beyond")</f>
        <v>https://cardosystems.com/pages/beyond</v>
      </c>
      <c r="I6" t="inlineStr">
        <is>
          <t>Safety. 安全性。
Comfort. 舒适。
Sound. 音质。
Connectivity. 互联性。
Practicality. 实用性</t>
        </is>
      </c>
      <c r="J6" t="inlineStr">
        <is>
          <t>北美、欧洲</t>
        </is>
      </c>
      <c r="K6" t="inlineStr">
        <is>
          <t>长途摩旅（Touring）与探险（ADV）骑士；
高净值科技先锋：对价格不敏感，热衷于尝试最新科技的极客骑手 ；
Cardo 生态深度绑定用户</t>
        </is>
      </c>
      <c r="L6" t="inlineStr">
        <is>
          <t>9200</t>
        </is>
      </c>
      <c r="M6" t="inlineStr">
        <is>
          <t xml:space="preserve"> Cardo 官方网站以及全球顶级的摩托车装备垂直电商（如北美的 RevZilla、欧洲的 FortaMoto 和 Sportsbikeshop）；
线下则通过授权的顶级机车装备实体店进行铺货</t>
        </is>
      </c>
      <c r="N6"/>
      <c r="O6" t="inlineStr">
        <is>
          <t>image.png,image.png,image.png</t>
        </is>
      </c>
      <c r="P6" t="inlineStr">
        <is>
          <t>XS, S/M, L, XL/XXL, 六个型号，四个盔体，目前只有裸碳纤维黑1种配色</t>
        </is>
      </c>
      <c r="Q6" t="inlineStr">
        <is>
          <t>外壳：轻量碳纤维材质；
内衬：多密度 EPS 缓冲内衬，搭配抗菌、可拆洗的高端面料内衬；
内置可收式遮阳镜片；
加赠Pinlock®200 防雾片；</t>
        </is>
      </c>
      <c r="R6" t="inlineStr">
        <is>
          <t>1800~1870g</t>
        </is>
      </c>
      <c r="S6" t="inlineStr">
        <is>
          <t>DOT、ECE 22.06</t>
        </is>
      </c>
      <c r="T6" t="inlineStr">
        <is>
          <t>未公开具体型号</t>
        </is>
      </c>
      <c r="U6"/>
      <c r="V6" t="inlineStr">
        <is>
          <t>无本地用户存储功能</t>
        </is>
      </c>
      <c r="W6" t="inlineStr">
        <is>
          <t>无</t>
        </is>
      </c>
      <c r="X6"/>
      <c r="Y6" t="inlineStr">
        <is>
          <t>53mm 直径的头盔专用扬声器，由 Cardo Sound Labs 进行专业调校，搭配主动降噪技术，在屏蔽风噪的同时保证音频清晰度；
内置软性麦克风，具备降噪功能，用于通讯与语音控制。</t>
        </is>
      </c>
      <c r="Z6" t="inlineStr">
        <is>
          <t>蓝牙 5.2 模块；
第二代 DMC 动态网状通讯技术，支持最多 31 人组成群通讯，通讯距离最远可达 2 公里，具备自动组网、自动重连的功能；</t>
        </is>
      </c>
      <c r="AA6" t="inlineStr">
        <is>
          <t>无</t>
        </is>
      </c>
      <c r="AB6" t="inlineStr">
        <is>
          <t>可更换式锂电池；
在头盔后脑下方的排气孔边缘，起到配重平衡的作用；
2000mAh；
官方宣称续航时长约 13 小时，支持无线充电</t>
        </is>
      </c>
      <c r="AC6" t="inlineStr">
        <is>
          <t>内置 IMU（惯性测量单元）与主动刹车灯；
碰撞侦测：结合头盔内 IMU 数据与配对手机内的陀螺仪数据进行交叉验证；
记录头盔经历的每一次掉落和撞击，提示骑手外壳或 EPS 内部已受损，必须更换头盔</t>
        </is>
      </c>
      <c r="AD6" t="inlineStr">
        <is>
          <t>ID设计：KISKA；
声学：哈曼（已被Cardo收购）；
头盔：特锐飞复材科技有限公司 ？ https://www.xmtrfc.com/about.aspx?page=about</t>
        </is>
      </c>
      <c r="AE6" t="inlineStr">
        <is>
          <t>1. 多人动态网状通讯：支持 31 人组的 2 公里范围对讲，自动组网、重连；
2. 主动安全防护：主动刹车灯、碰撞侦测警报、头盔健康监测；
3. 高品质音频：53mm 扬声器 + 主动降噪，提供清晰的音频体验；
4. 便捷操作：语音控制、自定义按键盲操，支持无线充电与可更换电池；
5. 系统升级：OTA 固件升级，持续更新功能。</t>
        </is>
      </c>
      <c r="AF6"/>
      <c r="AG6"/>
      <c r="AH6" t="inlineStr">
        <is>
          <t>支持自然语音控制功能，采用 Cardo 自主研发的语音控制引擎，可实现语音操作通讯、音乐播放、导航等功能，无需手动操作即可完成指令。</t>
        </is>
      </c>
      <c r="AI6" t="inlineStr">
        <is>
          <t>设计理念：一键一功能；
凸起的高辨识度立体橡胶块；
分布在面罩枢轴和下颌两侧；
清晰的“咔哒”物理机械反馈；
能穿透厚重的冬季皮手套传递给指尖；</t>
        </is>
      </c>
      <c r="AJ6" t="inlineStr">
        <is>
          <t>主动降噪效果优秀，能有效过滤风噪同时保留环境音；</t>
        </is>
      </c>
      <c r="AK6" t="inlineStr">
        <is>
          <t>重量相比传统头盔略重</t>
        </is>
      </c>
      <c r="AL6" t="inlineStr">
        <is>
          <t>竞品分析 - Cardo Beyond GTS</t>
        </is>
      </c>
      <c r="AM6" t="inlineStr">
        <is>
          <t>在米兰 EICMA 2025 国际摩托车展上，Cardo 提供了一个 120km/h 风速的风洞测试舱供全球媒体与专业用户提前体验；
头盔的所有电子模块均可更换，支持后续的硬件升级；
5年质保；
为了降低门槛，Cardo 推出的 949 美元“乞丐版” Beyond GT 采用了极为精准的商业“刀法”。GT 版本将碳纤维降级为玻璃钢，阉割了最核心的 ANC 功能（仅预留升级接口）、取消了无线充电与主动刹车灯，并将 2000mAh 电池减半至 1000mAh 。这种产品矩阵的设计，其实是为了通过锚定效应，反向逼迫有预算的用户直接冲顶购买利润率极高的 GTS 版本 。</t>
        </is>
      </c>
      <c r="AN6" t="inlineStr">
        <is>
          <t>👍 优势
Cardo品牌，在骑行领域，认可度高；
声学相关技术，实力强；
组队相关的Mesh能力夸张，最远距离2km，最多31人！
虽然没有HUD，但在头盔内做了LED灯交互，形式还算巧妙；
续航据悉13h！
👎 劣势
价格1199欧，确实太贵了
产品重量1870g，重了
🌟 机会点
在头盔内增加LED灯交互，可以增加交互形式；
Cardo的头盔厂家，我们也可以考虑接洽一下。
展会时，引入风洞舱增加体验感，形式本身，值得借鉴！</t>
        </is>
      </c>
      <c r="AO6" t="inlineStr">
        <is>
          <t>李洋</t>
        </is>
      </c>
      <c r="AP6" t="inlineStr">
        <is>
          <t>核心竞争对手、对标声学降噪相关，研究公司战略、DNA</t>
        </is>
      </c>
    </row>
    <row r="7" ht="25.5" customHeight="1">
      <c r="A7" t="inlineStr">
        <is>
          <t>Sena Stryker Sound/ Sena Impulse</t>
        </is>
      </c>
      <c r="B7" t="inlineStr">
        <is>
          <t>P0</t>
        </is>
      </c>
      <c r="C7"/>
      <c r="D7" t="inlineStr">
        <is>
          <t>智能头盔</t>
        </is>
      </c>
      <c r="E7" t="inlineStr">
        <is>
          <t>直接竞品</t>
        </is>
      </c>
      <c r="F7" t="inlineStr">
        <is>
          <t>2022 年 5 月</t>
        </is>
      </c>
      <c r="G7" t="inlineStr">
        <is>
          <t>Sena</t>
        </is>
      </c>
      <c r="H7" s="2" t="str">
        <f>=HYPERLINK("https://www.sena.com/en-us/product/stryker/", "https://www.sena.com/en-us/product/stryker/")</f>
        <v>https://www.sena.com/en-us/product/stryker/</v>
      </c>
      <c r="I7" t="inlineStr">
        <is>
          <t>哈曼卡顿联名音频、磁吸充电 + WiFi 自动更新</t>
        </is>
      </c>
      <c r="J7" t="inlineStr">
        <is>
          <t>美国、德国、法国、意大利、英国、西班牙、日本、韩国、中国、澳大利亚</t>
        </is>
      </c>
      <c r="K7" t="inlineStr">
        <is>
          <t>Stryker：追求极致防护 + 低风噪的运动骑行、长途摩旅、高速巡航骑手；重视音质与通讯稳定性的资深摩友。
Impulse：城市通勤、短途骑行、日常代步骑手；需要频繁摘戴 / 交流、兼顾便利与安全的用户。
共同：25–50 岁，预算充足，重视智能通讯、安全与音频体验的摩托车爱好者。</t>
        </is>
      </c>
      <c r="L7" t="inlineStr">
        <is>
          <t>4999</t>
        </is>
      </c>
      <c r="M7" t="inlineStr">
        <is>
          <t>全球总代理：
美国（45%）：RevZilla、Cycle Gear、Dennis Kirk 等机车连锁。
欧洲（35%）：Louis Moto、FC-Moto 等。
中国：Sena 中国官网、天猫 / 京东旗舰店、线下机车店（如摩托迷、牛摩网 ）。
线上平台：Amazon（全球）、eBay 等跨境电商。</t>
        </is>
      </c>
      <c r="N7" t="inlineStr">
        <is>
          <t>全球年销量：（待验证）
Stryker+Impulse 合计约 3–5 万顶 / 年（Sena 智能头盔总盘子约 10–15 万顶 / 年，这两款占30%–40%）
单款量级：Stryker 略高于 Impulse（约6:4），全盔需求更稳
对比竞品：低于 Cardo Packtalk Bold（年销约 10 万 +）
生命周期与趋势
- 2023 年底发布，2024 年爬坡，2025 年进入成熟期
- 2025 年 Q3–2026 年 Q1：销量微降、库存微增
主因：
 - 价格偏高，用户更倾向 “传统头盔 + 独立蓝牙模块”
- 竞品（如 Schuberth、Arai 智能款）分流
- 重量、风噪等差评影响复购 / 推荐
Sena 智能头盔全球总出货：2023 年底约 21 万台，Stryker+Impulse 占 Sena 智能头盔约 30%–40% → 年销 3–5 万顶
主销国家占比：北美≈45%、欧洲≈35%、亚太≈15%、其他≈5%
</t>
        </is>
      </c>
      <c r="O7" t="inlineStr">
        <is>
          <t>image.png</t>
        </is>
      </c>
      <c r="P7" t="inlineStr">
        <is>
          <t>S/ M/ L/ XL/ XXL；哑光黑、亮白</t>
        </is>
      </c>
      <c r="Q7" t="inlineStr">
        <is>
          <t>东丽复合玻纤外壳
可伸缩内置遮阳板、7 孔通风系统
内衬可拆洗</t>
        </is>
      </c>
      <c r="R7" t="inlineStr">
        <is>
          <t>1,750g ±50g</t>
        </is>
      </c>
      <c r="S7" t="inlineStr">
        <is>
          <t>DOT/ECE</t>
        </is>
      </c>
      <c r="T7" t="inlineStr">
        <is>
          <t>/</t>
        </is>
      </c>
      <c r="U7" t="inlineStr">
        <is>
          <t>/</t>
        </is>
      </c>
      <c r="V7" t="inlineStr">
        <is>
          <t>/</t>
        </is>
      </c>
      <c r="W7" t="inlineStr">
        <is>
          <t>/</t>
        </is>
      </c>
      <c r="X7" t="inlineStr">
        <is>
          <t>/</t>
        </is>
      </c>
      <c r="Y7" t="inlineStr">
        <is>
          <t>Stryker 同源的 Harman Kardon 音频 + ANC 降噪
Sound by Harman Kardon 高端扬声器 + 专用麦克风
</t>
        </is>
      </c>
      <c r="Z7" t="inlineStr">
        <is>
          <t>Mesh Intercom（开放 / 群组双模式）+ Bluetooth 5.0（Stryker）/4.1（Impulse）；Mesh 开放模式无人数限制，群组模式 16 人；蓝牙对讲 4 人，开阔地约 1.2km</t>
        </is>
      </c>
      <c r="AA7" t="inlineStr">
        <is>
          <t>无</t>
        </is>
      </c>
      <c r="AB7" t="inlineStr">
        <is>
          <t>松下 / 宁德
续航 通话≈12h、音乐≈18h、待机≈7 天
磁吸充电接口</t>
        </is>
      </c>
      <c r="AC7" t="inlineStr">
        <is>
          <t>/</t>
        </is>
      </c>
      <c r="AD7" t="inlineStr">
        <is>
          <t>MEMS 麦克风：Knowles（楼氏电子）
蓝牙基带芯片：Qualcomm（高通）/ Nordic Semiconductor
主控 MCU、电源管理芯片（PMIC）、传感器（加速度 / 陀螺仪）：STMicroelectronics（意法半导体）
Flash 存储、蓝牙射频前端（RFFE）：Microchip（微芯）
LED 驱动芯片：台湾地区厂商（聚积、明微）
碳纤维材料：日本东丽（Toray）、帝人（Teijin）
复合玻纤 ：欧洲Owens Corning
外壳成型代工：中国东莞 / 佛山头盔代工厂（永恒头盔、瑞狮头盔关联供应链），负责复合玻纤外壳注塑 / 热压成型；
主力生成 越南Sena 自有 工厂
镜片：Pinlock Impulse 标配 Pinlock 120 防雾镜片 独家供应商；台湾地区聚碳酸酯（PC）镜片厂（宝丽来、旭硝子关联供应链），提供主镜片与内置遮阳板。
电池：日本Panasonic（松下）、Sony（索尼）；中国宁德时代（CATL）、亿纬锂能
磁吸充电接口：美国MagSafe 方案商，或台湾地区联昌电子：定制磁吸 USB‑C 充电接口
充电管理芯片：TI（德州仪器）、Maxim（美信）：电池保护、快充协议芯片
内衬面料 / 海绵：
日本东丽（Toray）、旭化成：吸湿排汗、抗菌速干面料。
中国浙江嘉欣丝绸、江苏旷达：内衬针织面料与记忆海绵供应商
声学阻尼材料：德国BASF（巴斯夫）、美国Dow（陶氏）：聚氨酯泡沫，用于头盔内部隔音与麦克风拾音优化。</t>
        </is>
      </c>
      <c r="AE7" t="inlineStr">
        <is>
          <t>磁吸 Pogo 充电；8 种语言语音命令；高速通话清晰，边听歌边对讲；LED安全防护（常亮 / 闪烁 / 刹车感应）</t>
        </is>
      </c>
      <c r="AF7"/>
      <c r="AG7" t="inlineStr">
        <is>
          <t>image.png,image.png,image.png,image.png,image.png</t>
        </is>
      </c>
      <c r="AH7" t="inlineStr">
        <is>
          <t xml:space="preserve">Siri/Google </t>
        </is>
      </c>
      <c r="AI7" t="inlineStr">
        <is>
          <t>按键（Mesh、通话/音乐、音量滚轮、LED灯键）；语音指令</t>
        </is>
      </c>
      <c r="AJ7" t="inlineStr">
        <is>
          <t>听音乐体验很好，保真度高；高速风噪过滤极强比同价位全盔好；
麦克风拾音稳，优于Cardo；
祖传旋钮功能设计好评，不用摘手套，盲操调音/切歌/接电话非常方便；
设计和包装精致；
7孔通风，长途不闷头。</t>
        </is>
      </c>
      <c r="AK7" t="inlineStr">
        <is>
          <t>同配置下价格昂贵。
比常规全盔重100～200克，连续4h上脖子酸，长途舒适度打折扣；
隧道/高楼/电磁干扰区断连后Mesh重连慢。
配件贵，Pinlock 防雾镜片要单独买（约 300 元），原厂镜片易刮花，替换成本高”。
App固件更新慢。</t>
        </is>
      </c>
      <c r="AL7" t="inlineStr">
        <is>
          <t>Market Growth Reports / Industry Research Co. 智能头盔市场报告（2026）
https://www.marketgrowthreports.com/market-reports/smart-helmet-market-102198
Global Info Research / QYResearch 摩托车蓝牙通讯 / 智能头盔报告（2024–2026）
2024 年
https://www.qyresearch.com.cn/reports/3378811/motorcycle-bluetooth-intercom-communication-system
https://www.gelonghui.com/p/3880899</t>
        </is>
      </c>
      <c r="AM7" t="inlineStr">
        <is>
          <t>外壳、镜片、内衬均采用国际一线材料，安全舒适。
供应链分散</t>
        </is>
      </c>
      <c r="AN7" t="inlineStr">
        <is>
          <t>优势：音质、降噪、防水盲插磁吸 Pogo 充电
劣势：生态封闭；功能简单；不支持第三方互联；核心模块以来进口。
</t>
        </is>
      </c>
      <c r="AO7" t="inlineStr">
        <is>
          <t>邓琤</t>
        </is>
      </c>
      <c r="AP7"/>
    </row>
    <row r="8" ht="25.5" customHeight="1">
      <c r="A8" t="inlineStr">
        <is>
          <t>雷鸟X3</t>
        </is>
      </c>
      <c r="B8" t="inlineStr">
        <is>
          <t>P0</t>
        </is>
      </c>
      <c r="C8" t="inlineStr">
        <is>
          <t>已购</t>
        </is>
      </c>
      <c r="D8" t="inlineStr">
        <is>
          <t>智能眼镜</t>
        </is>
      </c>
      <c r="E8" t="inlineStr">
        <is>
          <t>间接竞品</t>
        </is>
      </c>
      <c r="F8" t="inlineStr">
        <is>
          <t>2025 年 5 月 27 日</t>
        </is>
      </c>
      <c r="G8" t="inlineStr">
        <is>
          <t>雷鸟创新（RayNeo）</t>
        </is>
      </c>
      <c r="H8" s="2" t="str">
        <f>=HYPERLINK("https://www.rayneo.com/pages/x3-pro-launch", "https://www.rayneo.com/pages/x3-pro-launch")</f>
        <v>https://www.rayneo.com/pages/x3-pro-launch</v>
      </c>
      <c r="I8" t="inlineStr">
        <is>
          <t>双目全彩 MicroLED 光波导（峰值 6000nits）、高通骁龙 AR1 Gen1、4K 双摄、空间定位、通义千问 AI、8 国实时翻译、AR 导航、76g 轻量化</t>
        </is>
      </c>
      <c r="J8" t="inlineStr">
        <is>
          <t>中国（主力）、北美、欧洲、东北亚</t>
        </is>
      </c>
      <c r="K8" t="inlineStr">
        <is>
          <t>科技尝鲜者、AR 开发者、商务人士（翻译 / 导航）、户外 / 骑行 AR 导航用户、数码发烧友</t>
        </is>
      </c>
      <c r="L8" t="inlineStr">
        <is>
          <t>8499</t>
        </is>
      </c>
      <c r="M8" t="inlineStr">
        <is>
          <t>雷鸟官网、京东 / 天猫旗舰店、授权经销商、线下体验店、博士眼镜线下渠道</t>
        </is>
      </c>
      <c r="N8"/>
      <c r="O8" t="inlineStr">
        <is>
          <t>image.png</t>
        </is>
      </c>
      <c r="P8"/>
      <c r="Q8" t="inlineStr">
        <is>
          <t>航天级镁铝合金</t>
        </is>
      </c>
      <c r="R8" t="inlineStr">
        <is>
          <t>76–78g</t>
        </is>
      </c>
      <c r="S8" t="inlineStr">
        <is>
          <t>FCC ID、CE、RoHS、3C</t>
        </is>
      </c>
      <c r="T8" t="inlineStr">
        <is>
          <t>高通骁龙 AR1 Gen1</t>
        </is>
      </c>
      <c r="U8"/>
      <c r="V8" t="inlineStr">
        <is>
          <t>运行4GB+存储32GB</t>
        </is>
      </c>
      <c r="W8" t="inlineStr">
        <is>
          <t>双目衍射光波导 + MicroLED（萤火光引擎）
分辨率：640×480（双目）
亮度：平均 3500nits，峰值6000nits
FOV：30°（等效 4 米看 75 寸）
刷新率：60Hz（动态可调）
色彩：1677 万色</t>
        </is>
      </c>
      <c r="X8" t="inlineStr">
        <is>
          <t>Android XR（谷歌联合三星、高通开发）</t>
        </is>
      </c>
      <c r="Y8" t="inlineStr">
        <is>
          <t>定制微型扬声器：AAC Technologies（瑞声科技）
麦克风 双摄 + 空间音频</t>
        </is>
      </c>
      <c r="Z8" t="inlineStr">
        <is>
          <t>蓝牙 5.0+Wi‑Fi</t>
        </is>
      </c>
      <c r="AA8" t="inlineStr">
        <is>
          <t>双摄（索尼 IMX681 1200 万主摄 + OV 空间感知摄像头）
 4K 拍照
1440P 录像</t>
        </is>
      </c>
      <c r="AB8" t="inlineStr">
        <is>
          <t>电池容量245mAh
续航时长中度 3–5h；重度约 1h
充电Type‑C，38 分钟充满</t>
        </is>
      </c>
      <c r="AC8" t="inlineStr">
        <is>
          <t>SLAM 空间定位/陀螺仪 / 加速度计</t>
        </is>
      </c>
      <c r="AD8" t="inlineStr">
        <is>
          <t>芯片：高通 骁龙 AR1 平台
主摄：索尼（IMX681）、
空间摄像头：豪威（OV）、
自研 RayNeo 光波导（与JBD和Applied Materials合作）、
存储芯片：佰维存储、
音频芯片：恒玄科技（BES2800）+ 艾为电子
画质芯片：Pixelworks（像素引擎）联合开发Vision 4000 定制画质芯片，实现 HDR10 显示、120Hz 动态补偿
定制微型扬声器：AAC Technologies（瑞声科技）
OLED 微显示屏：视涯科技（SEEYA）
3D引擎：Unity
音质调校：BANG &amp; OLUFSEN（B&amp;O）
整机代工：歌尔股份（60%）、亿道信息（40%）
结构件：显盈科技
镜片：ZEISS（蔡司）</t>
        </is>
      </c>
      <c r="AE8" t="inlineStr">
        <is>
          <t>主打全场景 AR 交互、空间计算、全天候 AI、导航 / 翻译 / 娱乐一体</t>
        </is>
      </c>
      <c r="AF8" t="inlineStr">
        <is>
          <t>image.png,image.png,image.png,image.png,image.png,image.png</t>
        </is>
      </c>
      <c r="AG8" t="inlineStr">
        <is>
          <t>image.png,image.png,image.png,image.png</t>
        </is>
      </c>
      <c r="AH8" t="inlineStr">
        <is>
          <t>通义千问定制版多模态大模型
海外Gemini</t>
        </is>
      </c>
      <c r="AI8" t="inlineStr">
        <is>
          <t>镜腿触控、Apple Watch 联动、手机遥控、手势识别、空中投屏、隐私防窥、AR 空间交互</t>
        </is>
      </c>
      <c r="AJ8" t="inlineStr">
        <is>
          <t>轻量化核心优势、音质效果超出预期、比Meta拍摄视角更自然</t>
        </is>
      </c>
      <c r="AK8" t="inlineStr">
        <is>
          <t>深度体验者都给出差评，核心集中在软件，续航极差，中度使用维持1小时，软件系统半成品，系统卡顿、大量基础功能bug。分辨率480p，偏色严重。</t>
        </is>
      </c>
      <c r="AL8" t="inlineStr">
        <is>
          <t>测评 https://news.qq.com/rain/a/20250527A094OD00</t>
        </is>
      </c>
      <c r="AM8"/>
      <c r="AN8" t="inlineStr">
        <is>
          <t>硬件设计出色，软件体验完成度低，像开发者套件，非普通消费者产品。</t>
        </is>
      </c>
      <c r="AO8" t="inlineStr">
        <is>
          <t>邓琤</t>
        </is>
      </c>
      <c r="AP8" t="inlineStr">
        <is>
          <t>双目全彩最佳，研究供应商、技术边界。</t>
        </is>
      </c>
    </row>
    <row r="9" ht="25.5" customHeight="1">
      <c r="A9" t="inlineStr">
        <is>
          <t>BleeqUP</t>
        </is>
      </c>
      <c r="B9" t="inlineStr">
        <is>
          <t>P0</t>
        </is>
      </c>
      <c r="C9" t="inlineStr">
        <is>
          <t>A 待买</t>
        </is>
      </c>
      <c r="D9" t="inlineStr">
        <is>
          <t>智能眼镜</t>
        </is>
      </c>
      <c r="E9" t="inlineStr">
        <is>
          <t>间接竞品</t>
        </is>
      </c>
      <c r="F9" t="inlineStr">
        <is>
          <t>2025 年 9 月 5 日 开始全球正式发售</t>
        </is>
      </c>
      <c r="G9" t="inlineStr">
        <is>
          <t>BleeqUp</t>
        </is>
      </c>
      <c r="H9" s="2" t="str">
        <f>=HYPERLINK("https://www.bleequp.com/?_gl=1*1ro4jo0*_up*MQ..*_gs*MQ..&amp;gclid=CjwKCAiAh5XNBhAAEiwA_Bu8FUpcrI42OBXhu-8n5ebyIdEdCpTXoKHkD5UCiUwa_gWQEL3de58LRhoC2LIQAvD_BwE&amp;gbraid=0AAAABCiuNGV3VtcQO9oUSJBPjMeLMGPIW", "https://www.bleequp.com/?_gl=1*1ro4jo0*_up*MQ..*_gs*MQ..&amp;gclid=CjwKCAiAh5XNBhAAEiwA_Bu8FUpcrI42OBXhu-8n5ebyIdEdCpTXoKHkD5UCiUwa_gWQEL3de58LRhoC2LIQAvD_BwE&amp;gbraid=0AAAABCiuNGV3VtcQO9oUSJBPjMeLMGPIW")</f>
        <v>https://www.bleequp.com/?_gl=1*1ro4jo0*_up*MQ..*_gs*MQ..&amp;gclid=CjwKCAiAh5XNBhAAEiwA_Bu8FUpcrI42OBXhu-8n5ebyIdEdCpTXoKHkD5UCiUwa_gWQEL3de58LRhoC2LIQAvD_BwE&amp;gbraid=0AAAABCiuNGV3VtcQO9oUSJBPjMeLMGPIW</v>
      </c>
      <c r="I9" t="inlineStr">
        <is>
          <t xml:space="preserve"> 1) 运动 AI 摄录与视频功能
AI 影像剪辑 / 高光提取：通过 BleeqUp App 自动识别并生成运动精彩剪辑片段（无需手动后期）
POV 连拍与长录像支持：支持连续录制且兼顾稳定性
多模式录制：支持横向与竖向模式，满足社交视频需求
2) 指向音频 + 对讲通信
开放式扬声器：同时听音乐和环境声，提高安全性
对讲/Walkie‑Talkie：组队实时语音交流，在骑行等场景非常实用
通话支持：可直接接打电话
3) AI 功能
自动剪辑与轨迹标记：智能识别运动高光，标注并生成精彩回放
运动健康整合：App 可追踪 GPS / 配速 / 健康数据等
OTA 升级支持：随着软件迭代，功能持续扩展4) 连接与 App 生态
通过 BleeqUp App 可实现：
文件管理与分享
运动追踪与数据同步
AI 剪辑/高光输出
对讲网络与群组管</t>
        </is>
      </c>
      <c r="J9" t="inlineStr">
        <is>
          <t>全球发售</t>
        </is>
      </c>
      <c r="K9" t="inlineStr">
        <is>
          <t>户外运动爱好者（骑行/跑步/徒步/极限等）
拓展人群：户外记录分享者、装备一体化需求者</t>
        </is>
      </c>
      <c r="L9" t="inlineStr">
        <is>
          <t>2799</t>
        </is>
      </c>
      <c r="M9" t="inlineStr">
        <is>
          <t>官方计划：
眼镜连锁零售店：全球 2,000+ 家眼镜专业店（以欧洲市场为主，由 Pacific Group Sarl 支持）
多品类零售渠道：运动与户外用品店
消费电子卖场：自行车 / 摩托运动用品店/旅行零售与机场免税店</t>
        </is>
      </c>
      <c r="N9" t="inlineStr">
        <is>
          <t>Kickstarter 45 天筹资约 51 万美元
早期支持者 约 400+ 人（另一口径）
 对应 ASP ≈ 299–349 美元
 众筹销量量级 ≈ 1,400–1,700 台</t>
        </is>
      </c>
      <c r="O9" t="inlineStr">
        <is>
          <t>image.png,image.png</t>
        </is>
      </c>
      <c r="P9" t="inlineStr">
        <is>
          <t>黑+橘色镜片/白+黄色镜片</t>
        </is>
      </c>
      <c r="Q9" t="inlineStr">
        <is>
          <t>TR90 高韧性运动级框架</t>
        </is>
      </c>
      <c r="R9" t="inlineStr">
        <is>
          <t>37g</t>
        </is>
      </c>
      <c r="S9"/>
      <c r="T9" t="inlineStr">
        <is>
          <t>Qualcomm 系列芯片</t>
        </is>
      </c>
      <c r="U9"/>
      <c r="V9" t="inlineStr">
        <is>
          <t>32GB（可记录约 4.5–5.5 小时视频）</t>
        </is>
      </c>
      <c r="W9" t="inlineStr">
        <is>
          <t>/</t>
        </is>
      </c>
      <c r="X9"/>
      <c r="Y9" t="inlineStr">
        <is>
          <t>扬声器：4 单元全频音响（Full‑Frequency ×2 + High‑Frequency ×2）
麦克风：5 MIC 阵列（噪声抑制 + 通话拾音）</t>
        </is>
      </c>
      <c r="Z9" t="inlineStr">
        <is>
          <t>蓝牙：连接手机 / 音频控制 
Wi‑Fi：支持 5 G 用于文件访问与 OTA 固件更新</t>
        </is>
      </c>
      <c r="AA9" t="inlineStr">
        <is>
          <t>主摄像头：16 MP 运动级 CMOS 模块（清晰画质）
视频规格：1080p @ 30 fps（横/竖录制支持）
视野（FOV）：约 120°，适合 POV 运动记录 
影像稳定：AI / EIS 图像稳定功能（有效减少抖动）</t>
        </is>
      </c>
      <c r="AB9" t="inlineStr">
        <is>
          <t>眼镜本体：260 mAh
外接扩展电池 Power Plus：1600 mAh（可显著延长续航）
续航表现
视频录制：约 1 h（本体）+4 h（加 Power Plus）
音频播放：约 8 h（本体）+40 h（Power Plus）</t>
        </is>
      </c>
      <c r="AC9"/>
      <c r="AD9" t="inlineStr">
        <is>
          <t>Qualcomm（高通）
ZEISS（光学）</t>
        </is>
      </c>
      <c r="AE9" t="inlineStr">
        <is>
          <t>AI 运动智能眼镜 + POV 摄录 + 音频交互 + 对讲通讯 的“户外智能装备”，</t>
        </is>
      </c>
      <c r="AF9"/>
      <c r="AG9" t="inlineStr">
        <is>
          <t>image.png</t>
        </is>
      </c>
      <c r="AH9" t="inlineStr">
        <is>
          <t>BleeqUp 自研的 Sport AI 系统/云端平台 负责关键镜头识别、剪辑、实时反馈，与移动端 App 协同实现智能服务。</t>
        </is>
      </c>
      <c r="AI9"/>
      <c r="AJ9" t="inlineStr">
        <is>
          <t>“camera is pretty good”
相机画质达到可用级，非玩具级
“comfortable… doesn’t weight too much”
佩戴舒适，重量控制良好
“buttons are easily usable”
物理按键操作友好
“application seems to be really complete”
 App 功能完整度较高</t>
        </is>
      </c>
      <c r="AK9" t="inlineStr">
        <is>
          <t>“40 minutes of video… much lower than expected”
 实测续航明显低于标称5小时
“only way to get files is WiFi”
 只能 WiFi 传输，没有有线直连
“update… need to connect with your wifi”
 系统更新流程复杂
“AI… quite disappointing”
 AI 自动剪辑效果较弱
“stabilizer isn’t that good”
 防抖弱，无法替代 GoPro
“need to charge them too often”
 高频充电，日常使用负担大
“not as good as I hoped… still a good product” 期望值高时会失望，但作为轻量记录设备可接受
“good glasses… can still take some video”更像 骑行记录眼镜 + 运动眼镜，不是运动相机替代品</t>
        </is>
      </c>
      <c r="AL9" t="inlineStr">
        <is>
          <t>https://www.trustpilot.com/review/bleequp.com?utm_source=chatgpt.com</t>
        </is>
      </c>
      <c r="AM9" t="inlineStr">
        <is>
          <t>外设：蓝牙车把遥控
+拍摄照片/视频
+音量/电源
+播放/语音助手
+音量
+对讲静音
+拍摄/状态/对讲静音提示灯</t>
        </is>
      </c>
      <c r="AN9" t="inlineStr">
        <is>
          <t>产品类型
AI Camera Glasses（无显示）
价值主张
四合一设备：
运动眼镜
运动相机
蓝牙耳机
对讲机
核心竞争点
超轻量（&lt;50g）
安全（无显示）
运动场景深度适配
AI 自动剪辑
核心短板
视频能力弱于 GoPro
续航短
AI 价值感有限
机会：在垂直领域把拍摄、降噪、HUD，容易被垂直市场接受</t>
        </is>
      </c>
      <c r="AO9" t="inlineStr">
        <is>
          <t>记星</t>
        </is>
      </c>
      <c r="AP9" t="inlineStr">
        <is>
          <t>四合一，拍摄和AI剪辑体验，垂类产品打法，KS策略</t>
        </is>
      </c>
    </row>
    <row r="10" ht="25.5" customHeight="1">
      <c r="A10" t="inlineStr">
        <is>
          <t>Meta Ray-Ban Display glasses</t>
        </is>
      </c>
      <c r="B10" t="inlineStr">
        <is>
          <t>P0</t>
        </is>
      </c>
      <c r="C10"/>
      <c r="D10" t="inlineStr">
        <is>
          <t>智能眼镜</t>
        </is>
      </c>
      <c r="E10" t="inlineStr">
        <is>
          <t>间接竞品</t>
        </is>
      </c>
      <c r="F10" t="inlineStr">
        <is>
          <t>2025年9月30日首发</t>
        </is>
      </c>
      <c r="G10" t="inlineStr">
        <is>
          <t>Meta X Ray-Ban</t>
        </is>
      </c>
      <c r="H10" s="2" t="str">
        <f>=HYPERLINK("https://www.meta.com/sg/ai-glasses/meta-ray-ban-display/?srsltid=AfmBOoqtCYknfHniPax64Hznb-0xvHDtkOJQEBL3TWMeTTCG6UFHof4Q", "https://www.meta.com/sg/ai-glasses/meta-ray-ban-display/?srsltid=AfmBOoqtCYknfHniPax64Hznb-0xvHDtkOJQEBL3TWMeTTCG6UFHof4Q")</f>
        <v>https://www.meta.com/sg/ai-glasses/meta-ray-ban-display/?srsltid=AfmBOoqtCYknfHniPax64Hznb-0xvHDtkOJQEBL3TWMeTTCG6UFHof4Q</v>
      </c>
      <c r="I10" t="inlineStr">
        <is>
          <t>1. **AR 显示技术**；
2. **腕带肌电交互**；
3. **影像记录功能**；
4. **AI 智能体验**</t>
        </is>
      </c>
      <c r="J10" t="inlineStr">
        <is>
          <t>首发区域为美国
官方已无限期推迟了原定于2026年初在英国、法国、意大利和加拿大的国际推广计划，将全部产能优先供给美国本土市场 。</t>
        </is>
      </c>
      <c r="K10" t="inlineStr">
        <is>
          <t>硬核科技极客、前沿技术开发者、早期采用者以及重度依赖社交媒体网络的内容创作者 。
这部分高净值人群对价格的敏感度极低，对早期硬件的妥协与软件 Bug 具有极高的容忍度，且极度渴望体验下一代空间计算平台的交互范式。
该产品目前在商业本质上是一台面向公众收费的“开发者套件”与市场数据采集测试仪 。</t>
        </is>
      </c>
      <c r="L10" t="inlineStr">
        <is>
          <t>5600</t>
        </is>
      </c>
      <c r="M10" t="inlineStr">
        <is>
          <t>通过少数线下实体零售商进行，包括百思买（Best Buy）、LensCrafters、Sunglass Hut 以及部分 Ray-Ban 官方旗舰店 。
无法直接在线下单购买现货，必须通过 Meta 官网预约线下门店的演示（Demo）环节。在专业店员的协助下，消费者需要完成试戴、光学适配以及关键的 Neural Band 腕带尺寸测量后方可购买 。</t>
        </is>
      </c>
      <c r="N10" t="inlineStr">
        <is>
          <t xml:space="preserve">Display 版本两年期出货量目标设定为 50 万台 </t>
        </is>
      </c>
      <c r="O10" t="inlineStr">
        <is>
          <t>image.png,image.png</t>
        </is>
      </c>
      <c r="P10" t="inlineStr">
        <is>
          <t>产品提供“标准（Standard）”和“大号（Large）”两种镜框尺寸 。
在配色策略上，Meta 目前保持了极度的克制与保守，首发仅提供“亮黑（Black）”和“沙色（Sand）”两种框架颜色选项，旨在最大化普适性 。
腕带严格划分为1号（小号）、2号（中号）和3号（大号）三种尺寸
不仅仅是为了佩戴舒适，更是为了确保底部的 EMG 电极能够与皮肤表面实现毫米级的紧密贴合，这是精准捕获肌电信号的物理前提 。</t>
        </is>
      </c>
      <c r="Q10" t="inlineStr">
        <is>
          <t>镜框：尼龙聚合物衍生品
 Meta Neural Band 腕带：Vectran 的高性能液晶聚合物纤维（高抗拉伸强度和耐用性，亲肤的柔软度）</t>
        </is>
      </c>
      <c r="R10" t="inlineStr">
        <is>
          <t>68~70g</t>
        </is>
      </c>
      <c r="S10" t="inlineStr">
        <is>
          <t>IPX4 防水等级</t>
        </is>
      </c>
      <c r="T10" t="inlineStr">
        <is>
          <t xml:space="preserve">高通骁龙AR1 Gen 1（6nm） </t>
        </is>
      </c>
      <c r="U10" t="inlineStr">
        <is>
          <t>具体数值没有披露，
NPU 广泛支持 INT8 和 INT4 低精度量化计算</t>
        </is>
      </c>
      <c r="V10" t="inlineStr">
        <is>
          <t>RAM 2GB  LPDDR4X; 
Flash 32GB
可容纳约 500 多张高分辨率照片和 100 多段时长为 30 秒的短视频
内容会在设备连接到宿主手机的 Wi-Fi 热点时，通过 Meta AI App 自动回传并清理本地空间</t>
        </is>
      </c>
      <c r="W10" t="inlineStr">
        <is>
          <t>LCoS 硅基液晶微型显示器，分辨率 600×600，视场角 20°（水平 14°× 垂直 14°），刷新率 90Hz，角分辨率 42 像素 / 度；
入眼峰值亮度：5000nit；
依视路的 Transitions Gen8 自动变色技术。当用户处于户外高紫外线环境时，透明镜片会在几秒钟内自动变暗为深灰色。这不仅充当了保护视力的太阳镜功能，更通过阻挡外部强光，在物理背景层面提高了 LCoS 显示画面的绝对对比度。</t>
        </is>
      </c>
      <c r="X10"/>
      <c r="Y10" t="inlineStr">
        <is>
          <t>联合歌尔定制的开放式微型扬声器；
6 麦克风阵列系统；</t>
        </is>
      </c>
      <c r="Z10" t="inlineStr">
        <is>
          <t>蓝牙 5.3 则承担了更基础但更关键的任务：维持眼镜、智能手机以及 Neural Band 肌电腕带之间的超低功耗常态化长连接，确保肌电指令的下发延迟被控制在毫秒级内，实现类似本地原生运算的无感交互体验 。
支持 Wi-Fi 6 标准的射频模组（内部搭载高通 FastConnect 7800 子系统，硬件上具备支持 Wi-Fi 7 的潜力）；</t>
        </is>
      </c>
      <c r="AA10" t="inlineStr">
        <is>
          <t>1200 万像素的超广角摄像头，
支持通过手势进行 1 至 3 倍的数码变焦，能够拍摄分辨率高达 3024 × 4032 像素的高清静态静态照片，以及 1440 × 1920 像素的 30fps 视频流 
这颗摄像头的 CMOS 传感器方向被出厂物理锁定在竖屏（Portrait Mode）画幅。从商业战略逻辑推断，这是 Meta 官方为了深度绑定并引流旗下 Instagram Reels、Facebook Stories 以及竞争对手 TikTok 等竖屏短视频生态，而做出的强制性硬件设定。</t>
        </is>
      </c>
      <c r="AB10" t="inlineStr">
        <is>
          <t>拆解报告：148 mAh
官方营销文件宣称，在标准的混合使用场景下，单次充满电可提供最高 6 小时的续航时间 。
深度极客用户的真实反馈揭示了一个更为严峻的续航真相。由于驱动一块高达 5000 尼特的 LCoS 屏幕、维持双向 Wi-Fi 与蓝牙的数据流传输、以及频繁调用高耗能的 12MP 摄像头，实际在重度混合使用（不断查看地图导航、拍摄短片并偶尔进行多模态 AI 查询）的情况下，续航时间仅徘徊在 4.5 到 5 小时之间。如果在明亮的户外持续开启第一人称视角的双向视频通话（Video Calling），电量甚至会以肉眼可见的速度在两小时内枯竭 。
充电盒：960mAh
Neural Band 肌电腕带，由于其内部的计算极其简单，仅需处理低功耗的表面电信号并转换为蓝牙脉冲发射，单块 18 毫安时级别的微型电池即可维持长达 18 小时的持续工作状态，完美覆盖了人类从早晨起床到夜晚入睡的全天候作息需求</t>
        </is>
      </c>
      <c r="AC10" t="inlineStr">
        <is>
          <t>1. 光线传感器：用于感知环境光线，自动调节显示屏亮度；
2. 加速度传感器：用于设备唤醒、姿态识别；
3. Meta Neural Band 腕带配备肌电传感器，用于识别手势操作信号。</t>
        </is>
      </c>
      <c r="AD10" t="inlineStr">
        <is>
          <t xml:space="preserve">核心组件/模组
主要供应商（Manufacturer / Supplier）
整机代工组装 (OEM)
歌尔股份（Goertek / GoerOptics） 
硅基液晶微显示器 (LCoS)
豪威集团（OmniVision） 
影像传感器 (Camera CMOS)
豪威集团（OmniVision） / 索尼（Sony） 
光波导镜片技术
Lumus 
特种光学玻璃晶圆
肖特（Schott） 
核心计算引擎 (SoC)
高通（Qualcomm） 
高密度锂电池
德赛电池（Desay）等 
复合存储芯片 (ePOP)
金士顿（Kingston）等 </t>
        </is>
      </c>
      <c r="AE10" t="inlineStr">
        <is>
          <t>1. AR 信息显示：查看导航箭头、消息预览、音乐播放信息、日程提醒等内容；
2. 手势与语音控制：通过 Neural Band 腕带实现手势操作，或通过语音指令控制设备功能；
3. 影像记录：第一人称视角拍照与 3K 视频录制，支持防抖与多种拍摄模式；
4. AI 智能助手：实时翻译、导航指引、场景信息推荐、音乐控制；
5. Meta 生态互联：分享内容至社交平台、进行视频通话。</t>
        </is>
      </c>
      <c r="AF10" t="inlineStr">
        <is>
          <t>image.png,image.png,image.png</t>
        </is>
      </c>
      <c r="AG10" t="inlineStr">
        <is>
          <t>image.png</t>
        </is>
      </c>
      <c r="AH10" t="inlineStr">
        <is>
          <t>视觉问答与万物识别：用户注视着前方，只需说出指令“Hey Meta, look and tell me...（看看并告诉我...）”，眼镜的右眼显示屏会闪烁识别动画，同时摄像头悄然启动，截取当前视野的画面发送至云端。Meta AI 能够在一秒钟内分析图像，并在屏幕气泡中弹出答案。它可以准确翻译异国的日文餐厅招牌、识别远处的植物种类、提供眼前这座历史建筑的建造年份，甚至通过观察一道菜的配料来估算其热量 。
跨语种同声传译（Live Translation）：这是最受好评的杀手级功能之一。当面见外籍人士时，用户下达开启翻译的指令。对方说出的西班牙语或法语会被麦克风矩阵精准捕捉，Meta AI 在毫秒级内完成处理，将翻译后的英文结果以“滚动字幕（Captions）”的形式，直接投射在用户的右眼 HUD 显示屏上。这真正实现了跨越语言障碍的无缝眼神交流，且极大地照顾了听障人士的需求 。
Beta 级场景探索功能：随着最新的 V22 固件推送升级，语音模型还解锁了极其聪明的上下文记忆能力（Conversation Focus）。用户不必每次提问都重复主语，AI 能够理解连贯的对话逻辑。此外，系统还能基于所处环境的光线和地理位置，呼叫 Spotify 生成环境契合度极高的 AI 歌单 。</t>
        </is>
      </c>
      <c r="AI10" t="inlineStr">
        <is>
          <t>1. 眼镜本身无物理操作按键，主要通过语音与 Meta Neural Band 腕带进行操作；
2. Neural Band 腕带支持的手势操作包括：拇指与食指捏合进行选择、拇指滑动进行四向导航、双击手指快速切换应用，暂无公开的交互操作截图。</t>
        </is>
      </c>
      <c r="AJ10" t="inlineStr">
        <is>
          <t>惊艳的抗强光显示效果：5000尼特的超高物理亮度，配合能够物理遮挡背景光线的 Transitions 变色镜片，使得微小的文本和地图导航箭头在加州刺眼的阳光下依然如刀锋般锐利可见。
对 Meta Neural Band 给出了的极高评价。“把双手抄在口袋里就能随意控制眼前的屏幕翻页”的体验，被极其频繁地形容为“像魔法一样（Like Magic）”或具有强烈的“赛博朋克黑客般的精神控制感”。</t>
        </is>
      </c>
      <c r="AK10"/>
      <c r="AL10"/>
      <c r="AM10"/>
      <c r="AN10" t="inlineStr">
        <is>
          <t>👍 优势
存储内容会在设备连接到宿主手机的 Wi-Fi 热点时，通过 Meta AI App 自动回传并清理本地空间
LCos 入眼5000nit亮度的同时，配合依视路的变色片，能更好应对户外强光
肌电传感器，体验绝对是未来级的
🌟机会：车队帮别人拍需求，社群。组队趣味拍摄。破生态和建立自己的生态。</t>
        </is>
      </c>
      <c r="AO10" t="inlineStr">
        <is>
          <t>李洋</t>
        </is>
      </c>
      <c r="AP10" t="inlineStr">
        <is>
          <t>生态学习：思考车队帮别人拍需求，社群玩法。组队的趣味拍摄。破生态和建立自己的生态。UI 规范学习。色彩。
去歌尔实际体验。</t>
        </is>
      </c>
    </row>
    <row r="11" ht="25.5" customHeight="1">
      <c r="A11" t="inlineStr">
        <is>
          <t>Cardo Packtalk pro</t>
        </is>
      </c>
      <c r="B11" t="inlineStr">
        <is>
          <t>P0</t>
        </is>
      </c>
      <c r="C11" t="inlineStr">
        <is>
          <t>A 待买x3 （最贵1+2次版）</t>
        </is>
      </c>
      <c r="D11" t="inlineStr">
        <is>
          <t>耳机</t>
        </is>
      </c>
      <c r="E11" t="inlineStr">
        <is>
          <t>间接竞品</t>
        </is>
      </c>
      <c r="F11" t="inlineStr">
        <is>
          <t>2024 年 7月 国内发售</t>
        </is>
      </c>
      <c r="G11" t="inlineStr">
        <is>
          <t>Cardo</t>
        </is>
      </c>
      <c r="H11" s="2" t="str">
        <f>=HYPERLINK("https://www.cardosystems.cn/shop/packtalk-pro/", "https://www.cardosystems.cn/shop/packtalk-pro/")</f>
        <v>https://www.cardosystems.cn/shop/packtalk-pro/</v>
      </c>
      <c r="I11" t="inlineStr">
        <is>
          <t>15人DMC 2.0 mesh对讲，智能碰撞侦测、磁吸快拆、跨品牌互联、IPX7 防水、碰撞 SOS、智能降噪、蓝牙可连运动相机</t>
        </is>
      </c>
      <c r="J11" t="inlineStr">
        <is>
          <t>欧美、亚太</t>
        </is>
      </c>
      <c r="K11" t="inlineStr">
        <is>
          <t xml:space="preserve">高端、专业、重度长途摩旅人群，大型车队 ，高端骑行发烧友 </t>
        </is>
      </c>
      <c r="L11" t="inlineStr">
        <is>
          <t>3499</t>
        </is>
      </c>
      <c r="M11" t="inlineStr">
        <is>
          <t>中国：cardo官网/京东/淘宝/天猫/拼多多/线下授权经销商   欧美：亚马逊/海外官网/Cycle Gear、RevZilla/Sportsbikeshop 日本：乐天/Yahoo! Shopping、</t>
        </is>
      </c>
      <c r="N11"/>
      <c r="O11" t="inlineStr">
        <is>
          <t>截屏2026-03-05 14.32.43.png,截屏2026-03-05 14.32.10.png,截屏2026-03-05 14.32.01.png</t>
        </is>
      </c>
      <c r="P11" t="inlineStr">
        <is>
          <t>黑色</t>
        </is>
      </c>
      <c r="Q11"/>
      <c r="R11" t="inlineStr">
        <is>
          <t>47g</t>
        </is>
      </c>
      <c r="S11" t="inlineStr">
        <is>
          <t>CE、FCC/IC、BT SIG、TELEC UKCA、IP67 防水</t>
        </is>
      </c>
      <c r="T11"/>
      <c r="U11" t="inlineStr">
        <is>
          <t>/</t>
        </is>
      </c>
      <c r="V11" t="inlineStr">
        <is>
          <t>/</t>
        </is>
      </c>
      <c r="W11" t="inlineStr">
        <is>
          <t>无</t>
        </is>
      </c>
      <c r="X11" t="inlineStr">
        <is>
          <t>/</t>
        </is>
      </c>
      <c r="Y11" t="inlineStr">
        <is>
          <t>45mm JBL 扬声器 
两种麦克风，全盔线麦&amp;半盔麦棍</t>
        </is>
      </c>
      <c r="Z11" t="inlineStr">
        <is>
          <t>蓝牙5.2+第二代 DMC动态Mesh，支持手机 / 导航连接、Mesh 群聊、跨品牌对讲</t>
        </is>
      </c>
      <c r="AA11" t="inlineStr">
        <is>
          <t>无</t>
        </is>
      </c>
      <c r="AB11" t="inlineStr">
        <is>
          <t>850mAh；DMC 对讲时长13h、待机时长10天、快充20分钟通话2小时，充满约需2小时，支持边充边用</t>
        </is>
      </c>
      <c r="AC11" t="inlineStr">
        <is>
          <t>内置IMU，集成加速度计 陀螺仪实现碰撞检测和自动开关机功能</t>
        </is>
      </c>
      <c r="AD11" t="inlineStr">
        <is>
          <t>代工厂Jabil（捷普集团）
https://investors.jabil.com/news/news-details/2022/Jabil-Helps-Cardo-Systems-Set-New-Standard-in-Helmet-Communication-Systems/default.aspx</t>
        </is>
      </c>
      <c r="AE11" t="inlineStr">
        <is>
          <t>智能碰撞检测，支持在检测到事故时通知紧急联系人。
自动开关机
第二代DMC通信技术，支持15位骑手在1.6公里范围内的稳定通信
可同时连接手机导航、音乐并进行 Mesh 对讲，支持跨品牌对讲连接。
便捷操控：配备磁吸安装底座，方便快速装卸。支持“Hey cardo”原生语音控制及手机助（Siri/Google ）</t>
        </is>
      </c>
      <c r="AF11"/>
      <c r="AG11" t="inlineStr">
        <is>
          <t>截屏2026-03-06 15.18.13.png</t>
        </is>
      </c>
      <c r="AH11" t="inlineStr">
        <is>
          <t>Cardo自研的 Natural Voice Operation（自然语音操作）引擎</t>
        </is>
      </c>
      <c r="AI11" t="inlineStr">
        <is>
          <t>语音唤醒（Hey Cardo）磁吸底座自动开关机、APP 控制</t>
        </is>
      </c>
      <c r="AJ11" t="inlineStr">
        <is>
          <t>mesh稳定、音质卓越、磁吸方便，降噪好、自动开关机方便、DMC 网状通讯连接速度快，断连后自动重连体验无缝</t>
        </is>
      </c>
      <c r="AK11" t="inlineStr">
        <is>
          <t>价格高、费电、软件bug问题多、只能多连接一台维迈通</t>
        </is>
      </c>
      <c r="AL11"/>
      <c r="AM11" t="inlineStr">
        <is>
          <t>跨品牌连接时，例如一群cardo接维迈通，cardo用户的耳机里都是维迈通的背景风噪，进而会逐渐形成品牌圈</t>
        </is>
      </c>
      <c r="AN11"/>
      <c r="AO11" t="inlineStr">
        <is>
          <t>乔雅楠</t>
        </is>
      </c>
      <c r="AP11" t="inlineStr">
        <is>
          <t>组队、音质、快连、整体稳定性 体验学习。
头盔供应商考虑接洽。</t>
        </is>
      </c>
    </row>
    <row r="12" ht="25.5" customHeight="1">
      <c r="A12" t="inlineStr">
        <is>
          <t>ASMAX F1 PRO</t>
        </is>
      </c>
      <c r="B12" t="inlineStr">
        <is>
          <t>P0</t>
        </is>
      </c>
      <c r="C12"/>
      <c r="D12" t="inlineStr">
        <is>
          <t>耳机</t>
        </is>
      </c>
      <c r="E12" t="inlineStr">
        <is>
          <t>间接竞品</t>
        </is>
      </c>
      <c r="F12" t="inlineStr">
        <is>
          <t>2024 年 8 月 国内</t>
        </is>
      </c>
      <c r="G12" t="inlineStr">
        <is>
          <t>ASMAX</t>
        </is>
      </c>
      <c r="H12" s="2" t="str">
        <f>=HYPERLINK("https://www.asmax.net/", "https://www.asmax.net/")</f>
        <v>https://www.asmax.net/</v>
      </c>
      <c r="I12" t="inlineStr">
        <is>
          <t>10 人 Mesh 对讲（可 OTA 扩 16 人）、ENC 降噪、磁吸快拆、1350mAh 长续航、跨品牌互联、IPX7 防水、高性价比</t>
        </is>
      </c>
      <c r="J12" t="inlineStr">
        <is>
          <t>中国、日本、东南亚</t>
        </is>
      </c>
      <c r="K12" t="inlineStr">
        <is>
          <t>日常通勤骑手、短途摩旅、预算敏感型组队骑行者、学生 / 入门摩友</t>
        </is>
      </c>
      <c r="L12" t="inlineStr">
        <is>
          <t>759</t>
        </is>
      </c>
      <c r="M12" t="inlineStr">
        <is>
          <t>ASMAX 官网、京东 / 天猫 / 抖音旗舰店、摩托用品店、线下展会、日本亚马逊 / 楽天</t>
        </is>
      </c>
      <c r="N12"/>
      <c r="O12" t="inlineStr">
        <is>
          <t>image.png,image.png</t>
        </is>
      </c>
      <c r="P12" t="inlineStr">
        <is>
          <t>星云灰/耀光灰/耀光蓝/耀光虹</t>
        </is>
      </c>
      <c r="Q12"/>
      <c r="R12" t="inlineStr">
        <is>
          <t>50g</t>
        </is>
      </c>
      <c r="S12" t="inlineStr">
        <is>
          <t>FCC ID、CE、RoHS、REACH、UKCA、IC、TELEC、UL（IEC 62368-1）、IPX7 防水</t>
        </is>
      </c>
      <c r="T12" t="inlineStr">
        <is>
          <t>蓝牙 5.3（双芯片 8 核）</t>
        </is>
      </c>
      <c r="U12" t="inlineStr">
        <is>
          <t>/</t>
        </is>
      </c>
      <c r="V12" t="inlineStr">
        <is>
          <t>/</t>
        </is>
      </c>
      <c r="W12" t="inlineStr">
        <is>
          <t>无</t>
        </is>
      </c>
      <c r="X12" t="inlineStr">
        <is>
          <t>/</t>
        </is>
      </c>
      <c r="Y12" t="inlineStr">
        <is>
          <t>ENC 环境降噪（未来支持ANC主动降噪）
扬声器 40mm（Bongiovi 调校）
软管麦克风（全指向）降噪弱
硬管麦克风（双指向）降噪中</t>
        </is>
      </c>
      <c r="Z12" t="inlineStr">
        <is>
          <t>Mesh 对讲（10 人，可扩 16 人）网络模式 50人；
单对 3km；Mesh 接力 15km；
SMC 2.0 自适应（Mesh+5G）自家专利，不限制距离</t>
        </is>
      </c>
      <c r="AA12" t="inlineStr">
        <is>
          <t>无</t>
        </is>
      </c>
      <c r="AB12" t="inlineStr">
        <is>
          <t>1350mAh 待机 5 天
连续音乐21h；
对讲+音乐播放 14h；
充电10分钟，通讯3小时；
50分钟充满；
离座（磁吸）自动关机</t>
        </is>
      </c>
      <c r="AC12" t="inlineStr">
        <is>
          <t>加速度计</t>
        </is>
      </c>
      <c r="AD12" t="inlineStr">
        <is>
          <t>Bongiovi 声学调校</t>
        </is>
      </c>
      <c r="AE12" t="inlineStr">
        <is>
          <t>RGB氛围灯、快充、语音控制</t>
        </is>
      </c>
      <c r="AF12"/>
      <c r="AG12" t="inlineStr">
        <is>
          <t>image.png,image.png,image.png,image.png</t>
        </is>
      </c>
      <c r="AH12"/>
      <c r="AI12" t="inlineStr">
        <is>
          <t>语音唤醒（Hi MAX）、磁吸底座自动开关机、APP 控制</t>
        </is>
      </c>
      <c r="AJ12" t="inlineStr">
        <is>
          <t>性价比极高（759 元）、磁吸拆装方便、音量大高速中听得清、快充、外观科技感十足</t>
        </is>
      </c>
      <c r="AK12" t="inlineStr">
        <is>
          <t>低音杂音、声音刺耳、调节无法保存
品控稳定性差，麦克风失灵、主板松动、连接不稳定等问题；
组队功能基本不能用，跨品牌连接音质差、延迟高、有效距离短。</t>
        </is>
      </c>
      <c r="AL12"/>
      <c r="AM12" t="inlineStr">
        <is>
          <t>跨品牌互联：1.蓝牙桥接，2.通过ASMAX APP创建网络房间</t>
        </is>
      </c>
      <c r="AN12" t="inlineStr">
        <is>
          <t>优势：性价比极高（759 元）；磁吸安装便捷；续航长（21h）；语音指令基础实用；全球认证齐全，适配多市场；ENC 降噪效果较好。
劣势：极限距离组网稳定性一般；高速风噪抑制不足；APP 功能简单；无 AI 智能交互能力。</t>
        </is>
      </c>
      <c r="AO12" t="inlineStr">
        <is>
          <t>邓琤</t>
        </is>
      </c>
      <c r="AP12"/>
    </row>
    <row r="13" ht="25.5" customHeight="1">
      <c r="A13" t="inlineStr">
        <is>
          <t>RESO Pilot Pro</t>
        </is>
      </c>
      <c r="B13" t="inlineStr">
        <is>
          <t>P0</t>
        </is>
      </c>
      <c r="C13" t="inlineStr">
        <is>
          <t>A 待买x1</t>
        </is>
      </c>
      <c r="D13" t="inlineStr">
        <is>
          <t>耳机</t>
        </is>
      </c>
      <c r="E13" t="inlineStr">
        <is>
          <t>间接竞品</t>
        </is>
      </c>
      <c r="F13" t="inlineStr">
        <is>
          <t>2024 年 8 月 国内首发</t>
        </is>
      </c>
      <c r="G13" t="inlineStr">
        <is>
          <t>RESO Tech</t>
        </is>
      </c>
      <c r="H13" s="2" t="str">
        <f>=HYPERLINK("https://resosport.com/pages/reso-pilot-pro?srsltid=AfmBOoqBe9JeN4VIJoVackCfr7skIgJ6JNXk9CKf1IgBoSqilWPgJAsL", "https://resosport.com/pages/reso-pilot-pro?srsltid=AfmBOoqBe9JeN4VIJoVackCfr7skIgJ6JNXk9CKf1IgBoSqilWPgJAsL")</f>
        <v>https://resosport.com/pages/reso-pilot-pro?srsltid=AfmBOoqBe9JeN4VIJoVackCfr7skIgJ6JNXk9CKf1IgBoSqilWPgJAsL</v>
      </c>
      <c r="I13" t="inlineStr">
        <is>
          <t>兼容多品牌组队、AI 神经网络降噪、碰撞 SOS、15W 快充、运动相机直连</t>
        </is>
      </c>
      <c r="J13" t="inlineStr">
        <is>
          <t>中国、欧美</t>
        </is>
      </c>
      <c r="K13" t="inlineStr">
        <is>
          <t>长途摩旅、大型车队（30 人 +）、复杂地形骑行、专业骑手、安全刚需用户</t>
        </is>
      </c>
      <c r="L13" t="inlineStr">
        <is>
          <t>1299</t>
        </is>
      </c>
      <c r="M13" t="inlineStr">
        <is>
          <t>RESO 官网、天猫 / 淘宝旗舰店、线下摩托装备店、跨境电商</t>
        </is>
      </c>
      <c r="N13"/>
      <c r="O13" t="inlineStr">
        <is>
          <t>image.png,image.png</t>
        </is>
      </c>
      <c r="P13" t="inlineStr">
        <is>
          <t>黑色</t>
        </is>
      </c>
      <c r="Q13"/>
      <c r="R13" t="inlineStr">
        <is>
          <t>65g</t>
        </is>
      </c>
      <c r="S13" t="inlineStr">
        <is>
          <t>FCC ID、CE、RoHS、IP67 防水</t>
        </is>
      </c>
      <c r="T13"/>
      <c r="U13" t="inlineStr">
        <is>
          <t>/</t>
        </is>
      </c>
      <c r="V13" t="inlineStr">
        <is>
          <t>/</t>
        </is>
      </c>
      <c r="W13" t="inlineStr">
        <is>
          <t>无</t>
        </is>
      </c>
      <c r="X13" t="inlineStr">
        <is>
          <t>/</t>
        </is>
      </c>
      <c r="Y13" t="inlineStr">
        <is>
          <t>自研AI 神经网络降噪
140km/h 下清晰通话
40mm 高保真
高灵敏降噪麦</t>
        </is>
      </c>
      <c r="Z13" t="inlineStr">
        <is>
          <t>蓝牙 5.3+
DuoSync 双 Mesh（硬 + 软）
单对 2.5km；Mesh 接力12km
30 人无主机自由组网
支持维迈通 / Cardo/Sena 等
热点增程 Mesh、相机直连录音
最低时延 150ms</t>
        </is>
      </c>
      <c r="AA13" t="inlineStr">
        <is>
          <t>无</t>
        </is>
      </c>
      <c r="AB13" t="inlineStr">
        <is>
          <t>1950mAh
对讲 13h；音乐 18h
15W 快充；5 分钟充≈2h</t>
        </is>
      </c>
      <c r="AC13" t="inlineStr">
        <is>
          <t>GNSS 定位+ 陀螺仪</t>
        </is>
      </c>
      <c r="AD13"/>
      <c r="AE13" t="inlineStr">
        <is>
          <t>核心规格与性能
对讲范围：单机对讲距离可达 2.5 公里，30 人团队组网距离可达 12 公里。
续航能力：内置 1950mAh 大容量电池。纯音乐播放可达 18 小时，对讲+音乐模式可达 13 小时。
充电技术：支持 15W 快充，充电 5 分钟可对讲 2 小时，30 分钟可充至 80%。
音频质量：配备 40mm 高保真扬声器，并采用 AI 智能降噪技术，在 140km/h 时速下仍能保持通话清晰。 Instagram +6
功能亮点
运动相机互联：支持无线或有线连接 GoPro (12及以上)、DJI Osmo Action (3/4/5 Pro) 和 Insta360，可同步录制团队对讲音频，非常适合 Vlogger。
安全防护：内置 GNSS 全球定位系统和陀螺仪，支持 SOS 碰撞自动报警功能，并在检测到事故时通知紧急联系人。
便捷操控：配备磁吸安装底座，方便快速装卸。支持“Hey Reso”原生语音控制及手机助手（Siri/Google Assistant）。
多源混音：支持 Bluetooth 5.2，可同时连接手机导航、音乐并进行 Mesh 对讲，支持跨品牌对讲连接。</t>
        </is>
      </c>
      <c r="AF13"/>
      <c r="AG13" t="inlineStr">
        <is>
          <t>image.png,image.png,image.png,image.png</t>
        </is>
      </c>
      <c r="AH13" t="inlineStr">
        <is>
          <t>1. 唤醒与激活方式
唤醒词激活：直接说出唤醒词 “Hey Reso”（嘿，Reso）即可激活本地指令。
物理唤醒：在高速行驶风噪较大、语音唤醒不灵敏时，可以双击电源键强制唤醒语音助手。
手机系统集成：支持通过特定指令唤醒手机原生的语音助手，如 “Hey Siri” 或 Google Assistant。 Facebook +1
2. 常用离线语音指令
该系统支持中英文双语指令，涵盖了骑行中的核心操作：
音乐控制/切歌/音量调节/收音机/相机控制（匹配模式）</t>
        </is>
      </c>
      <c r="AI13" t="inlineStr">
        <is>
          <t>语音唤醒（你好小睿）、APP（Reso Link）</t>
        </is>
      </c>
      <c r="AJ13" t="inlineStr">
        <is>
          <t>组队开放兼容，音质和通话体验超出预期，对讲时背景音乐能自动减弱（巨好评）。</t>
        </is>
      </c>
      <c r="AK13" t="inlineStr">
        <is>
          <t>价格偏高（1299 元）、语音助手需要字正腔圆普通话才能识别，容易误触，不是非常智能。
吞字问题，前后座吞字，前后车不吞。
外壳容易产生裂痕，影响美观。
和维迈通连断断续续。</t>
        </is>
      </c>
      <c r="AL13" t="inlineStr">
        <is>
          <t>https://www.dongchedi.com/video/7414430683491205641</t>
        </is>
      </c>
      <c r="AM13" t="inlineStr">
        <is>
          <t>运动相机可同步收录全队通话。
App有骑行轨迹记录。</t>
        </is>
      </c>
      <c r="AN13" t="inlineStr">
        <is>
          <t>优势：双 Mesh 组网能力强（30 人无主机）；跨品牌互联友好（兼容维迈通 / Cardo）；AI 神经网络降噪（140km/h 清晰通话）；碰撞 SOS 功能实用；15W 快充。
劣势：价格偏高（1299 元）；体积重量较大（65g）；初期固件 bug 多；售后网点少；无多模态 AI 能力。</t>
        </is>
      </c>
      <c r="AO13" t="inlineStr">
        <is>
          <t>记星</t>
        </is>
      </c>
      <c r="AP13" t="inlineStr">
        <is>
          <t>怎么跨平台打通组队场景？吞音问题测试验证。对标Cardo各参数的程度。</t>
        </is>
      </c>
    </row>
    <row r="14" ht="25.5" customHeight="1">
      <c r="A14" t="inlineStr">
        <is>
          <t>夸克S1</t>
        </is>
      </c>
      <c r="B14" t="inlineStr">
        <is>
          <t>P0</t>
        </is>
      </c>
      <c r="C14"/>
      <c r="D14" t="inlineStr">
        <is>
          <t>智能眼镜</t>
        </is>
      </c>
      <c r="E14" t="inlineStr">
        <is>
          <t>参照品</t>
        </is>
      </c>
      <c r="F14" t="inlineStr">
        <is>
          <t>2025年11月2</t>
        </is>
      </c>
      <c r="G14" t="inlineStr">
        <is>
          <t>千问</t>
        </is>
      </c>
      <c r="H14" s="2" t="str">
        <f>=HYPERLINK("https://3.cn/2HqK-U7p?jkl=@F5CV11YTmGV", "https://3.cn/2HqK-U7p?jkl=@F5CV11YTmGV")</f>
        <v>https://3.cn/2HqK-U7p?jkl=@F5CV11YTmGV</v>
      </c>
      <c r="I14" t="inlineStr">
        <is>
          <t>1.内置千问大模型，89 种语言实时翻译，AI 场景化功能（高德近眼导航、AI 识物 / 比价、支付宝 “看一下” 支付、图文备忘 / 录音转写、智能提词器）
2.显示：4000nits 双目 AR 显示，单眼分辨率：640× 290，FOV：26.5°
3.影像：索尼 IMX681传感器，1200 万像素、109° 超广角；0.6 秒极速抓拍；3k超清视频。
4.佩戴：51g 超轻重量，7.5mm超细镜腿、3.3mm 超薄镜框；仿生鼻托 / 耳弯，适配亚洲人脸型；支配定制近视镜片
5.续航：可换电，双电池（287mAh）综合续航7h，待机25h。
6.音频：5麦+骨传导，降噪强，开放式扬声器，三档音频模式
7.性能：双旗舰芯片，高通骁龙AR1+恒玄BES2800；3GB+32/64GB储存双系统（安卓/RTOS)</t>
        </is>
      </c>
      <c r="J14" t="inlineStr">
        <is>
          <t>中国</t>
        </is>
      </c>
      <c r="K14" t="inlineStr">
        <is>
          <t>S1（高端旗舰款），商务职场人、专业创作者、高频户外 / 通勤人士、跨境 / 差旅用户、科技极客与 AI 发烧友。</t>
        </is>
      </c>
      <c r="L14" t="inlineStr">
        <is>
          <t>3799~5543（不含国补）</t>
        </is>
      </c>
      <c r="M14" t="inlineStr">
        <is>
          <t>线上：千问天猫/抖音/京东 线下604家门店</t>
        </is>
      </c>
      <c r="N14"/>
      <c r="O14" t="inlineStr">
        <is>
          <t>IMG_4998.PNG,IMG_4999.PNG,IMG_4997.PNG,IMG_5002.PNG,IMG_5001.PNG</t>
        </is>
      </c>
      <c r="P14" t="inlineStr">
        <is>
          <t>曜黑/玳瑁</t>
        </is>
      </c>
      <c r="Q14" t="inlineStr">
        <is>
          <t>AI 眼镜镜腿部分采用钛合金双料注塑一体成型+TPU 软胶包裹成型，树脂镜片</t>
        </is>
      </c>
      <c r="R14" t="inlineStr">
        <is>
          <t>51g</t>
        </is>
      </c>
      <c r="S14" t="inlineStr">
        <is>
          <t>IPX4防水，SRRC / CQC/ ROHS/UN38.3/
质检报告/SGS生物相容认证/苹果MFI认证</t>
        </is>
      </c>
      <c r="T14" t="inlineStr">
        <is>
          <t>主芯片：高通骁龙AR1；协芯片：恒玄BES2800；3GB+32GB</t>
        </is>
      </c>
      <c r="U14"/>
      <c r="V14" t="inlineStr">
        <is>
          <t>3GB RAM + 32GB ROM，不支持扩展</t>
        </is>
      </c>
      <c r="W14" t="inlineStr">
        <is>
          <t>光机：2个JBD联合定制 0.15cc Micro-LED（单绿色），像素：640×480
光波导：2个1.8高折玻璃二维光栅衍射波导</t>
        </is>
      </c>
      <c r="X14" t="inlineStr">
        <is>
          <t>自研QuarkOS双系统，底层为Android+RTOS，核心AI层深度整合通义千问大模型</t>
        </is>
      </c>
      <c r="Y14" t="inlineStr">
        <is>
          <t>麦克风：5麦+骨传导；扬声器：0730矩形双动圈扬声器</t>
        </is>
      </c>
      <c r="Z14" t="inlineStr">
        <is>
          <t>Wi-Fi 7、蓝牙5.4</t>
        </is>
      </c>
      <c r="AA14" t="inlineStr">
        <is>
          <t>索尼 IMX681 传感器。像素：1200万、拍照：4032*3024、录像：1080 P @30FPS
3K@30FPS</t>
        </is>
      </c>
      <c r="AB14" t="inlineStr">
        <is>
          <t>双电池（287mAh），持续录像60min+综合续航达7h，待机25h。</t>
        </is>
      </c>
      <c r="AC14" t="inlineStr">
        <is>
          <t>6轴IMU，实时感知头部姿态（转动、倾斜、俯仰），用于 AR 导航、头部控制、画面防抖。
压力感应触控传感器，支持捏按、滑动等手势，控制音乐、通话、相机快门。</t>
        </is>
      </c>
      <c r="AD14" t="inlineStr">
        <is>
          <t>光机&amp;Micro-LED：JBD和阿里联合定制
镜组：阿里和康耐特联合设计
二维光栅方案：至格科技
电池：VDL紫建电子
麦克风&amp;扬声器：AAC瑞声科技
存储芯片：佰维</t>
        </is>
      </c>
      <c r="AE14"/>
      <c r="AF14" t="inlineStr">
        <is>
          <t>IMG_4995.JPG,IMG_4990.PNG,截屏2026-03-09 18.29.47.png</t>
        </is>
      </c>
      <c r="AG14" t="inlineStr">
        <is>
          <t>IMG_4809.MOV.zip,IMG_4809.MOV,IMG_4807.JPG,IMG_4808.JPG,IMG_4806.JPG</t>
        </is>
      </c>
      <c r="AH14" t="inlineStr">
        <is>
          <t>阿里千问大模型，夸克同学</t>
        </is>
      </c>
      <c r="AI14" t="inlineStr">
        <is>
          <t>1. 顶部两段式相机键（盲拍最稳）盲操：轻触 = 对焦（有提示音），按到底 = 拍照，长按 = 录像
2.侧边显示触控区（菜单 ）盲操：滑动=翻页，单击 =确认，双击=返回主页，长按=唤醒AI
3.底部压感媒体区（音量 / 播放）盲操：捏按=播放 / 暂停，前后滑动=调音量
4.底部独立电源键盲操：短按=亮屏 / 熄屏，长按=开关机</t>
        </is>
      </c>
      <c r="AJ14" t="inlineStr">
        <is>
          <t>续航不错，拍照画质清晰，导航功能很实用，夸克同学回答问题很及时</t>
        </is>
      </c>
      <c r="AK14" t="inlineStr">
        <is>
          <t>出汗/下雨天不能带，眼镜清洁液也不能用，镜片防水差，贴合工艺次。，戴久了夹脑袋，耳朵疼。翻译功能不咋样，漏音</t>
        </is>
      </c>
      <c r="AL14" t="inlineStr">
        <is>
          <t>拆解视频：https://www.douyin.com/video/7585877565210938678</t>
        </is>
      </c>
      <c r="AM14"/>
      <c r="AN14" t="inlineStr">
        <is>
          <t>阿里巴巴发布夸克 AI 眼镜，为千问模型首个硬件载体。
阿里内部生态已经可以覆盖搜索、导航、支付、商旅等垂类使用场景，生态优势是夸克 AI 眼镜 S1 最突出的特点之一。</t>
        </is>
      </c>
      <c r="AO14" t="inlineStr">
        <is>
          <t>乔雅楠</t>
        </is>
      </c>
      <c r="AP14"/>
    </row>
    <row r="15" ht="25.5" customHeight="1">
      <c r="A15" t="inlineStr">
        <is>
          <t>PICO</t>
        </is>
      </c>
      <c r="B15" t="inlineStr">
        <is>
          <t>P2</t>
        </is>
      </c>
      <c r="C15"/>
      <c r="D15" t="inlineStr">
        <is>
          <t>智能眼镜</t>
        </is>
      </c>
      <c r="E15" t="inlineStr">
        <is>
          <t>参照品</t>
        </is>
      </c>
      <c r="F15"/>
      <c r="G15"/>
      <c r="H15" s="2"/>
      <c r="I15"/>
      <c r="J15"/>
      <c r="K15"/>
      <c r="L15"/>
      <c r="M15"/>
      <c r="N15"/>
      <c r="O15"/>
      <c r="P15"/>
      <c r="Q15"/>
      <c r="R15"/>
      <c r="S15"/>
      <c r="T15"/>
      <c r="U15"/>
      <c r="V15"/>
      <c r="W15"/>
      <c r="X15"/>
      <c r="Y15"/>
      <c r="Z15"/>
      <c r="AA15"/>
      <c r="AB15"/>
      <c r="AC15"/>
      <c r="AD15"/>
      <c r="AE15"/>
      <c r="AF15"/>
      <c r="AG15"/>
      <c r="AH15"/>
      <c r="AI15"/>
      <c r="AJ15"/>
      <c r="AK15"/>
      <c r="AL15"/>
      <c r="AM15"/>
      <c r="AN15"/>
      <c r="AO15" t="inlineStr">
        <is>
          <t>李洋</t>
        </is>
      </c>
      <c r="AP15"/>
    </row>
    <row r="16" ht="25.5" customHeight="1">
      <c r="A16" t="inlineStr">
        <is>
          <t>Engo2</t>
        </is>
      </c>
      <c r="B16" t="inlineStr">
        <is>
          <t>P0</t>
        </is>
      </c>
      <c r="C16"/>
      <c r="D16" t="inlineStr">
        <is>
          <t>智能眼镜</t>
        </is>
      </c>
      <c r="E16" t="inlineStr">
        <is>
          <t>间接竞品</t>
        </is>
      </c>
      <c r="F16" t="inlineStr">
        <is>
          <t>2022 年 9 月发布</t>
        </is>
      </c>
      <c r="G16" t="inlineStr">
        <is>
          <t>Engo</t>
        </is>
      </c>
      <c r="H16" s="2" t="str">
        <f>=HYPERLINK("https://engoeyewear.com/pages/about-1", "https://engoeyewear.com/pages/about-1")</f>
        <v>https://engoeyewear.com/pages/about-1</v>
      </c>
      <c r="I16" t="inlineStr">
        <is>
          <t>凸显HUD价值的负面“恐怖”故事：
看一眼手表？步幅会打乱，心率会飙升，注意力会分散；
不看？偏离配速，焦虑感加剧
either way, you lose.
始终清楚身在何处；焦虑转化为行动，这就是心流的状态。
标准款重量仅 36g
**多设备互联**：支持连接佳明、Apple Watch、Suunto、安卓等多种运动设备和手机，可同步各类运动数据，适配不同品牌的运动装备。</t>
        </is>
      </c>
      <c r="J16" t="inlineStr">
        <is>
          <t>美国、法国、德国、意大利等运动文化成熟的国家，在欧洲市场的覆盖范围更广</t>
        </is>
      </c>
      <c r="K16" t="inlineStr">
        <is>
          <t>硬核耐力运动员；早期科技接纳者与数据极客</t>
        </is>
      </c>
      <c r="L16" t="inlineStr">
        <is>
          <t>2051</t>
        </is>
      </c>
      <c r="M16" t="inlineStr">
        <is>
          <t>线上渠道：ENGO 官方网站（[engoeyewear.com](https://engoeyewear.com)）、亚马逊等第三方电商平台</t>
        </is>
      </c>
      <c r="N16"/>
      <c r="O16" t="inlineStr">
        <is>
          <t>image.png,image.png,image.png,image.png,image.png,image.png</t>
        </is>
      </c>
      <c r="P16" t="inlineStr">
        <is>
          <t>标准款和大码款两种尺寸；共有 7 种配色，包括黑色、白色、半透明、变色款等多种选择</t>
        </is>
      </c>
      <c r="Q16" t="inlineStr">
        <is>
          <t>可选感光变色镜片；亲肤防滑的硅胶鼻托</t>
        </is>
      </c>
      <c r="R16" t="inlineStr">
        <is>
          <t>标准款 36g，大码款 41g</t>
        </is>
      </c>
      <c r="S16" t="inlineStr">
        <is>
          <t>FCC、CE</t>
        </is>
      </c>
      <c r="T16" t="inlineStr">
        <is>
          <t>/</t>
        </is>
      </c>
      <c r="U16" t="inlineStr">
        <is>
          <t>/</t>
        </is>
      </c>
      <c r="V16" t="inlineStr">
        <is>
          <t>/</t>
        </is>
      </c>
      <c r="W16" t="inlineStr">
        <is>
          <t>Micro-OLED 单目显示（右镜片），分辨率 304x256，视场角 10°，单绿色显示界面，显示内容为运动数据的数字和图标。</t>
        </is>
      </c>
      <c r="X16" t="inlineStr">
        <is>
          <t>ActiveLook 平台的智能眼镜系统，支持 OTA 在线升级，可通过 APP 更新系统和功能。</t>
        </is>
      </c>
      <c r="Y16" t="inlineStr">
        <is>
          <t>无</t>
        </is>
      </c>
      <c r="Z16" t="inlineStr">
        <is>
          <t>蓝牙 4.2</t>
        </is>
      </c>
      <c r="AA16" t="inlineStr">
        <is>
          <t>无</t>
        </is>
      </c>
      <c r="AB16" t="inlineStr">
        <is>
          <t>单次充电可连续使用 12 小时，充电时间 3 小时，采用 USB-C 充电接口</t>
        </is>
      </c>
      <c r="AC16" t="inlineStr">
        <is>
          <t>内置红外传感器，用于识别挥手手势，实现页面切换的控制功能</t>
        </is>
      </c>
      <c r="AD16"/>
      <c r="AE16" t="inlineStr">
        <is>
          <t>1. 运动数据实时显示：显示心率、配速、功率、时间、距离等 40 + 种运动指标
2. 手势控制：挥手切换显示页面
3. 多设备连接：同步佳明、Apple Watch 等设备的运动数据
4. 感光变色镜片：自动适应不同光线环境
5. 长续航：12 小时连续使用，满足长时间运动需求</t>
        </is>
      </c>
      <c r="AF16" t="inlineStr">
        <is>
          <t>image.png</t>
        </is>
      </c>
      <c r="AG16" t="inlineStr">
        <is>
          <t>image.png,image.png,image.png</t>
        </is>
      </c>
      <c r="AH16" t="inlineStr">
        <is>
          <t>无</t>
        </is>
      </c>
      <c r="AI16" t="inlineStr">
        <is>
          <t>支持挥手切换页面的手势控制</t>
        </is>
      </c>
      <c r="AJ16" t="inlineStr">
        <is>
          <t>Decent battery life 电池续航尚可
Mostly easy to operate 大多易于操作
Great for pacing efforts 非常适合配速训练</t>
        </is>
      </c>
      <c r="AK16" t="inlineStr">
        <is>
          <t>Garmin生态，“反人类的配置逻辑”；
蓝牙数据延迟：当手表的GPS或心率发生变化后，数字传导到眼镜屏幕上会存在 2 到 13 秒不等的延迟</t>
        </is>
      </c>
      <c r="AL16" t="inlineStr">
        <is>
          <t>竞品分析 - Engo2</t>
        </is>
      </c>
      <c r="AM16" t="inlineStr">
        <is>
          <t>30天。用它训练，用它比赛。如果它不能改变你的跑步状态，可免费退货。风险由我们承担，你无需担忧。
ENGO Care为您提供保障。一年内，若您的眼镜出现刮痕、损坏或被盗，我们将为您更换。无需担忧，安心训练即可。
提供30天的无风险试用期（Risk-free trial）以及价值49.95欧元现免费赠送的“ENGO Care”意外损坏/被盗保障计划
如果你近距离看手表屏幕有困难，那么ENGO就能带来极大改变。其显示屏可将内容投射到前方5至10米处，无需眯眼、倾斜手腕，也不必在跑步中途慌忙摸索老花镜，就能清晰看清。对于其他视力矫正需求，则需要佩戴隐形眼镜。不确定是否合适？不妨免费试用ENGO 30天，没有任何风险。（解决了远视眼？？）</t>
        </is>
      </c>
      <c r="AN16"/>
      <c r="AO16" t="inlineStr">
        <is>
          <t>李洋</t>
        </is>
      </c>
      <c r="AP16" t="inlineStr">
        <is>
          <t>参考宣传方式，心流状态。</t>
        </is>
      </c>
    </row>
    <row r="17" ht="25.5" customHeight="1">
      <c r="A17" t="inlineStr">
        <is>
          <t>影目 Air 3</t>
        </is>
      </c>
      <c r="B17" t="inlineStr">
        <is>
          <t>P0</t>
        </is>
      </c>
      <c r="C17" t="inlineStr">
        <is>
          <t>7天无理由</t>
        </is>
      </c>
      <c r="D17" t="inlineStr">
        <is>
          <t>智能眼镜</t>
        </is>
      </c>
      <c r="E17" t="inlineStr">
        <is>
          <t>间接竞品</t>
        </is>
      </c>
      <c r="F17" t="inlineStr">
        <is>
          <t>2025 年 10 月Kickstarter</t>
        </is>
      </c>
      <c r="G17" t="inlineStr">
        <is>
          <t>INMO影目</t>
        </is>
      </c>
      <c r="H17" s="2" t="str">
        <f>=HYPERLINK("https://www.inmoxr.com/pages/inmo-air3", "https://www.inmoxr.com/pages/inmo-air3")</f>
        <v>https://www.inmoxr.com/pages/inmo-air3</v>
      </c>
      <c r="I17" t="inlineStr">
        <is>
          <t>1080P的超高清分辨；等效150英寸；入眼峰值亮度达到了600尼特；120Hz；
整机重量仅 79g；
高像素摄像头：16MP；
丰富的软件生态；</t>
        </is>
      </c>
      <c r="J17" t="inlineStr">
        <is>
          <t>全球</t>
        </is>
      </c>
      <c r="K17" t="inlineStr">
        <is>
          <t>科技爱好者/早期采用者；
开发者（AR应用开发）；
商务人士（轻办公、导航、翻译）</t>
        </is>
      </c>
      <c r="L17" t="inlineStr">
        <is>
          <t>5499（国补后）
（ks早鸟价$899，海外版$1099）</t>
        </is>
      </c>
      <c r="M17" t="inlineStr">
        <is>
          <t>京东、天猫、亚马逊等</t>
        </is>
      </c>
      <c r="N17"/>
      <c r="O17" t="inlineStr">
        <is>
          <t>image.png,image.png,image.png</t>
        </is>
      </c>
      <c r="P17" t="inlineStr">
        <is>
          <t>海外版，有两种鼻托</t>
        </is>
      </c>
      <c r="Q17" t="inlineStr">
        <is>
          <t>依视路镜片；PC+ABS；镁合金</t>
        </is>
      </c>
      <c r="R17" t="inlineStr">
        <is>
          <t>135g</t>
        </is>
      </c>
      <c r="S17"/>
      <c r="T17" t="inlineStr">
        <is>
          <t>高通骁龙8核CPU</t>
        </is>
      </c>
      <c r="U17"/>
      <c r="V17" t="inlineStr">
        <is>
          <t>8GB RAM/ 128GB ROM</t>
        </is>
      </c>
      <c r="W17" t="inlineStr">
        <is>
          <t>Sony Micro-OLED 双目1D波导</t>
        </is>
      </c>
      <c r="X17" t="inlineStr">
        <is>
          <t>基于安卓14 64位系统，INMOx腾讯首发AR版腾讯应用宝</t>
        </is>
      </c>
      <c r="Y17" t="inlineStr">
        <is>
          <t>4麦克风阵列+立体声扬声器</t>
        </is>
      </c>
      <c r="Z17" t="inlineStr">
        <is>
          <t>Wifi6，蓝牙5.3</t>
        </is>
      </c>
      <c r="AA17" t="inlineStr">
        <is>
          <t>1600万像素120°广角摄像头</t>
        </is>
      </c>
      <c r="AB17" t="inlineStr">
        <is>
          <t>660mAh</t>
        </is>
      </c>
      <c r="AC17" t="inlineStr">
        <is>
          <t>3轴加速度计，3轴陀螺仪，  3轴磁力计，光感传感器</t>
        </is>
      </c>
      <c r="AD17"/>
      <c r="AE17" t="inlineStr">
        <is>
          <t>1. 1080P 全彩 AR 显示，150 英寸虚拟巨幕观影
2. 三屏独立浮动办公，多任务并行处理
3. AI 实时翻译，支持 41 种语言 + 93 种方言
4. 演讲提词、AR 识别、云游戏
5. 智能戒指 + 手势 + 语音多方式交互
6. 独立运行 Android 14 系统，支持各类 APP</t>
        </is>
      </c>
      <c r="AF17" t="inlineStr">
        <is>
          <t>image.png,image.png</t>
        </is>
      </c>
      <c r="AG17"/>
      <c r="AH17" t="inlineStr">
        <is>
          <t>据说，可以在眼镜里，部署小龙虾了</t>
        </is>
      </c>
      <c r="AI17"/>
      <c r="AJ17" t="inlineStr">
        <is>
          <t>清晰</t>
        </is>
      </c>
      <c r="AK17" t="inlineStr">
        <is>
          <t>亮度低；续航差；操作不方便；太重；品控差</t>
        </is>
      </c>
      <c r="AL17"/>
      <c r="AM17"/>
      <c r="AN17"/>
      <c r="AO17" t="inlineStr">
        <is>
          <t>李洋</t>
        </is>
      </c>
      <c r="AP17"/>
    </row>
    <row r="18" ht="25.5" customHeight="1">
      <c r="A18" t="inlineStr">
        <is>
          <t>Insta360 X5 (影石)</t>
        </is>
      </c>
      <c r="B18" t="inlineStr">
        <is>
          <t>P1</t>
        </is>
      </c>
      <c r="C18"/>
      <c r="D18" t="inlineStr">
        <is>
          <t>拍摄设备</t>
        </is>
      </c>
      <c r="E18" t="inlineStr">
        <is>
          <t>间接竞品</t>
        </is>
      </c>
      <c r="F18" t="inlineStr">
        <is>
          <t>2025 年4月22日</t>
        </is>
      </c>
      <c r="G18" t="inlineStr">
        <is>
          <t>Insta360</t>
        </is>
      </c>
      <c r="H18" s="2" t="str">
        <f>=HYPERLINK("https://www.insta360.com/cn/product/insta360-x5", "https://www.insta360.com/cn/product/insta360-x5")</f>
        <v>https://www.insta360.com/cn/product/insta360-x5</v>
      </c>
      <c r="I18" t="inlineStr">
        <is>
          <t>1.支持最高 ‌8K/30fps‌ 全景视频录制，单镜头可达4K画质，静态照片分辨率高达 ‌7200万像素‌
2.‌大底传感器提升画质‌：搭载两颗 ‌1/1.28英寸大底传感器‌，相比前代面积提升 ‌144%‌
3.‌AI增强夜景表现‌：配备 ‌两颗专业影像ISP芯片 + 5nm AI芯片‌，算力较X4提升140%，显著降低噪点，提升暗光细节与色彩还原
4.可更换镜头+抗摔升级‌：镜头外覆X5 裸机镜头外镀 ‌“金刚膜”‌，抗摔性能较X4提升 ‌100%‌，且支持 ‌可替换镜头盖‌，应对跌落、刮擦等高强度使用场景
5.‌IP68级防水‌，无需额外防护壳即可在 ‌15米水深‌ 正常工作
6.</t>
        </is>
      </c>
      <c r="J18" t="inlineStr">
        <is>
          <t>中国、美国、欧洲、日本</t>
        </is>
      </c>
      <c r="K18" t="inlineStr">
        <is>
          <t>专业内容创作者、户外 / 极限运动爱好者、高端影像玩家</t>
        </is>
      </c>
      <c r="L18" t="inlineStr">
        <is>
          <t>3281标准版
3978全能版
（自拍杆、镜头保护套、标准保护镜、电池、多功能充电管家、收纳包）
3868摩托车套装（大力夹、隐形自拍杆、镜头保护套）</t>
        </is>
      </c>
      <c r="M18" t="inlineStr">
        <is>
          <t>中国：insta官网/京东/淘宝/天猫/拼多多/线下官方直营店/授权店
全球线上：亚马逊、日韩 / 欧美：Best Buy、B&amp;H、Adorama 
全球线下：
北美：Best Buy、REI、Costco、B&amp;H
欧洲：MediaMarkt、Saturn、本地相机行
日本Yodobashi/Bic Camera
机场店：全球 90 + 机场零售点</t>
        </is>
      </c>
      <c r="N18"/>
      <c r="O18" t="inlineStr">
        <is>
          <t>截屏2026-03-11 13.45.28.png,截屏2026-03-11 13.45.07.png,截屏2026-03-11 13.44.25.png</t>
        </is>
      </c>
      <c r="P18" t="inlineStr">
        <is>
          <t>长宽高：46.0×124.5×38.2mm
黑白两色</t>
        </is>
      </c>
      <c r="Q18" t="inlineStr">
        <is>
          <t>官网未明确标注具体材质</t>
        </is>
      </c>
      <c r="R18" t="inlineStr">
        <is>
          <t>200g</t>
        </is>
      </c>
      <c r="S18" t="inlineStr">
        <is>
          <t>IP68 防护认证，符合 IEC 60529、GB/T 4208标准
美国：FCC认证
欧盟：CE认证
加拿大：IC认证
韩国：KC认证
日本：Telec / MIC 认证
中国：3C、SRRC认证
SAR（人体辐射）</t>
        </is>
      </c>
      <c r="T18" t="inlineStr">
        <is>
          <t>1/1.28英寸传感器，三芯片（AI芯片+两颗影像芯片）</t>
        </is>
      </c>
      <c r="U18" t="inlineStr">
        <is>
          <t>5nm AI 三芯，算力较上代 + 140%（2.4 倍）</t>
        </is>
      </c>
      <c r="V18" t="inlineStr">
        <is>
          <t>无内置储存，依赖microSD（支持 UHS-I V30 或更高）卡储存</t>
        </is>
      </c>
      <c r="W18" t="inlineStr">
        <is>
          <t>显示模组：2.5 英寸 LCD 触控屏，分辨率：640 × 480（公开资料），亮度：1000 cd/m²（尼特），特性：大尺寸、高亮度户外屏</t>
        </is>
      </c>
      <c r="X18" t="inlineStr">
        <is>
          <t>影石自研 RTOS，无公开商业系统名称，官方称Insta360 X5相机系统（固件）</t>
        </is>
      </c>
      <c r="Y18" t="inlineStr">
        <is>
          <t>音频收音规格：16-bit/48kHz；4个内置麦克风。
音频模式：
智能降风噪（强弱两档）
智能人声增强
立体声
360° 全景声
外接：支持 Mic Air 无线麦克风、摩托车蓝牙耳机双轨收音。
无内置扬声器，机身无外放喇叭</t>
        </is>
      </c>
      <c r="Z18" t="inlineStr">
        <is>
          <t>Wi-Fi、蓝牙5.2 、USB 3.0 (5Gbps)有线传输</t>
        </is>
      </c>
      <c r="AA18" t="inlineStr">
        <is>
          <t>2 片 1/1.28 英寸 CMOS
视角：前后双 180° 鱼眼镜头，f/2.0光圈
照片像素：7200 万像素
视频规格：8K@30fps（11K 超采样）</t>
        </is>
      </c>
      <c r="AB18" t="inlineStr">
        <is>
          <t>2400mAh 
续航：5.724fps208分钟/8k30fps100分钟
快充：20分钟至80%（9v 3A）</t>
        </is>
      </c>
      <c r="AC18" t="inlineStr">
        <is>
          <t>6 轴陀螺仪，用于防震和校正</t>
        </is>
      </c>
      <c r="AD18" t="inlineStr">
        <is>
          <t>传感器：索尼
摄像模组：弘景光电
70% 镜头供应商：联创电子
5nm AI 主控芯片：安霸 
电池：紫建电子
声学组件：瀛通通讯（麦克风）
被动元器件：商络电子
金属结构件：统联精密
Wi-Fi/蓝牙模块：正基科技</t>
        </is>
      </c>
      <c r="AE18"/>
      <c r="AF18" t="inlineStr">
        <is>
          <t>IMG_4802.JPG,IMG_4803.JPG,IMG_4800.JPG,IMG_4796.JPG,IMG_4801.JPG</t>
        </is>
      </c>
      <c r="AG18" t="inlineStr">
        <is>
          <t>IMG_4777.JPG,IMG_4778.JPG</t>
        </is>
      </c>
      <c r="AH18" t="inlineStr">
        <is>
          <t>自有语音控制 2.0，机身麦克风直接收音，支持中文、英文等多语言</t>
        </is>
      </c>
      <c r="AI18" t="inlineStr">
        <is>
          <t>无独立的语音唤醒词，都是直接说操作指令。</t>
        </is>
      </c>
      <c r="AJ18" t="inlineStr">
        <is>
          <t>AI 动态跟拍、自动构图、一键成片：拍完直接出片，不用后期
拼接自然、自拍杆消除完美、新手友好、成片率高
可更换镜头（金刚膜），刮花可换
三麦克风 +防风降噪，骑行 / 户外收音更清晰</t>
        </is>
      </c>
      <c r="AK18" t="inlineStr">
        <is>
          <t>耗电快发烫、画质不如Osmo360、app对安卓手机不友好，渲染慢、需要单独买sd卡</t>
        </is>
      </c>
      <c r="AL18" t="inlineStr">
        <is>
          <t>测评： https://www.bilibili.com/video/BV15B5yzKECr/</t>
        </is>
      </c>
      <c r="AM18"/>
      <c r="AN18" t="inlineStr">
        <is>
          <t>适用人群：新手/懒人，要一键出片、AI 剪辑
常滑雪 / 骑行 / 潜水，要 可换镜头、更强防水、耐用
看重 握持手感、大屏、增稳、收音降噪</t>
        </is>
      </c>
      <c r="AO18" t="inlineStr">
        <is>
          <t>乔雅楠</t>
        </is>
      </c>
      <c r="AP18"/>
    </row>
    <row r="19" ht="25.5" customHeight="1">
      <c r="A19" t="inlineStr">
        <is>
          <t>DJI Osmo 360</t>
        </is>
      </c>
      <c r="B19" t="inlineStr">
        <is>
          <t>P1</t>
        </is>
      </c>
      <c r="C19"/>
      <c r="D19" t="inlineStr">
        <is>
          <t>拍摄设备</t>
        </is>
      </c>
      <c r="E19" t="inlineStr">
        <is>
          <t>间接竞品</t>
        </is>
      </c>
      <c r="F19" t="inlineStr">
        <is>
          <t>2025年7月31日</t>
        </is>
      </c>
      <c r="G19" t="inlineStr">
        <is>
          <t>DJI</t>
        </is>
      </c>
      <c r="H19" s="2" t="str">
        <f>=HYPERLINK("https://www.dji.com/cn", "https://www.dji.com/cn")</f>
        <v>https://www.dji.com/cn</v>
      </c>
      <c r="I19" t="inlineStr">
        <is>
          <t>1.原生8K/50fps全景视频，画质领先行业‌
2.双存储方案‌：内置 ‌105GB可用存储‌ + MicroSD卡扩展，避免存储焦虑 ‌
3.智能功能丰富‌（智能追踪、体感取景、语音/手势控制）
4.IP68 防水‌，裸机支持 ‌10 米水深‌ 使用，无需额外防护壳，-20℃ 耐寒
5.磁吸快拆生态‌：兼容 Osmo Action 系列电池、配件（
6.‌OsmoAudio™ 双麦直连‌：可同时连接 ‌2 个 DJI Mic 无线麦克风‌，无需接收器，实现高质量收音
7.双模式一机多用
全景模式：360° 地平线增稳、第三人称视角
单镜头模式：170° 极广角、5K@60fps、前后镜头热切换
竖拍 9:16：直出社交平台</t>
        </is>
      </c>
      <c r="J19" t="inlineStr">
        <is>
          <t>中国大陆、欧洲、日本、加拿大及亚太主流市场。美国：非官方销售区，仅平行进口存在。</t>
        </is>
      </c>
      <c r="K19" t="inlineStr">
        <is>
          <t>追求创意视角与专业画质的内容创作者、户外运动 / 极限运动玩家、旅行爱好者，以及大疆生态的深度用户</t>
        </is>
      </c>
      <c r="L19" t="inlineStr">
        <is>
          <t>2548-3645</t>
        </is>
      </c>
      <c r="M19" t="inlineStr">
        <is>
          <t>官网、京东、天猫、淘宝、拼多多、抖音电商、苏宁易购、国美、九机网等线下连锁线上店
海外：海外官网、电商：Amazon、B&amp;H Photo、Adorama、Best Buy</t>
        </is>
      </c>
      <c r="N19"/>
      <c r="O19" t="inlineStr">
        <is>
          <t>截屏2026-03-11 16.31.50.png,截屏2026-03-11 16.31.18.png,截屏2026-03-11 16.29.58.png,截屏2026-03-11 16.29.47.png,截屏2026-03-11 16.29.31.png</t>
        </is>
      </c>
      <c r="P19" t="inlineStr">
        <is>
          <t>长宽高：61mm/36.3mm/81mm</t>
        </is>
      </c>
      <c r="Q19" t="inlineStr">
        <is>
          <t>官网未明确标注具体材质</t>
        </is>
      </c>
      <c r="R19" t="inlineStr">
        <is>
          <t>183g</t>
        </is>
      </c>
      <c r="S19" t="inlineStr">
        <is>
          <t>IP68 防护认证，通过标准：GB/T 4208-2017（中国）、IEC 60529-2013（国际）
美国：FCC认证
欧盟：CE认证
中国：3C、SRRC认证
SAR（人体辐射）</t>
        </is>
      </c>
      <c r="T19" t="inlineStr">
        <is>
          <t>双1/1.1英寸方形CMOS传感器，单像素尺寸达2.4μm，有效感光面积比X5提升63.8%。</t>
        </is>
      </c>
      <c r="U19" t="inlineStr">
        <is>
          <t>4nm 芯片，无公开算力数值，靠硬件规格与算法体现性能</t>
        </is>
      </c>
      <c r="V19" t="inlineStr">
        <is>
          <t>128GB 内置存储（可用存储：105GB），可通过 microSD 卡插槽拓展内存</t>
        </is>
      </c>
      <c r="W19" t="inlineStr">
        <is>
          <t>显示模组：2.0 英寸 OLED 触控屏，分辨率：314 × 556，亮度：800 cd/m²（尼特），特性：高亮 OLED，强光可视</t>
        </is>
      </c>
      <c r="X19" t="inlineStr">
        <is>
          <t>大疆自研 RTOS，无公开商业系统名称，官方称为Osmo 360相机系统（固件）</t>
        </is>
      </c>
      <c r="Y19" t="inlineStr">
        <is>
          <t>音频收音规格：16-bit/48kHz；4个内置麦克风，实现全方位立体声 / 全景声收音；单声道 / 立体声切换；智能降风噪；支持蓝牙耳机收音（SENA、维迈通等）
有内置扬声器（机身右侧）</t>
        </is>
      </c>
      <c r="Z19" t="inlineStr">
        <is>
          <t>Wi-Fi、蓝牙5.1 、USB 3.1 (10Gbps)有线传输</t>
        </is>
      </c>
      <c r="AA19" t="inlineStr">
        <is>
          <t>2 片1/1.1英寸CMOS
照片像素：1.2亿像素（15520×7760）
视频规格：8K@30/50fps 
视角：前后双 180° 鱼眼镜头，组成 360° 全景</t>
        </is>
      </c>
      <c r="AB19" t="inlineStr">
        <is>
          <t>1950mAh 续航： 最长可支持录制 8K/30fps 全景视频达 100 分钟，长续航模式下可达120分钟
最长可支持录制 6K/24fps 全景视频达190分钟；支持 ‌-20℃ 低温环境‌ 正常工作</t>
        </is>
      </c>
      <c r="AC19" t="inlineStr">
        <is>
          <t>内置 IMU，内含高精度陀螺仪</t>
        </is>
      </c>
      <c r="AD19" t="inlineStr">
        <is>
          <t>传感器：豪威科技
核心摄像头模组：欧菲光
高精密镜头组：亚洲光学
锂电池电芯与模组：欣旺达
Wi-Fi/蓝牙模块：正基科技
结构件/外壳：富士康、昆山蒲公英
存储 / 接口：三星、铠侠（Flash）、京东方（OLED 屏）
大疆自研 (DJI)：主控芯片、ISP 图像处理器、NPU</t>
        </is>
      </c>
      <c r="AE19"/>
      <c r="AF19" t="inlineStr">
        <is>
          <t>1773238029842.JPG,IMG_4773.PNG,IMG_4771.PNG,IMG_4772.PNG</t>
        </is>
      </c>
      <c r="AG19" t="inlineStr">
        <is>
          <t>截屏2026-03-11 22.05.42.png</t>
        </is>
      </c>
      <c r="AH19" t="inlineStr">
        <is>
          <t>自有系统（蓝牙耳机 + 机身语音），需连接兼容蓝牙耳机 / 机身收音</t>
        </is>
      </c>
      <c r="AI19" t="inlineStr">
        <is>
          <t>独立的语音唤醒词，都是直接说操作指令。</t>
        </is>
      </c>
      <c r="AJ19" t="inlineStr">
        <is>
          <t>画质标杆，轻巧便携，360模式新颖好玩，操作简单，很出片</t>
        </is>
      </c>
      <c r="AK19" t="inlineStr">
        <is>
          <t>耗电快，易发热
屏幕小、握持差、易误触
app差，剪辑软件难用，麻烦，功能少，无 AI自动跟拍、无智能剪辑，纯手动后期，效率低
镜头不可更换，镜头脆弱，容易有划痕</t>
        </is>
      </c>
      <c r="AL19" t="inlineStr">
        <is>
          <t>测评：https://www.bilibili.com/video/BV1DmkWBdEf2/</t>
        </is>
      </c>
      <c r="AM19" t="inlineStr">
        <is>
          <t>Osmo 360 是业界首款支持‌原生8K/50fps‌全景视频录制的相机</t>
        </is>
      </c>
      <c r="AN19" t="inlineStr">
        <is>
          <t>适用人群：追求极致画质、细节、动态范围、8K 高帧率/要专业后期或者单镜头强性能/看重内置存储、性价比、大疆生态</t>
        </is>
      </c>
      <c r="AO19" t="inlineStr">
        <is>
          <t>乔雅楠</t>
        </is>
      </c>
      <c r="AP19"/>
    </row>
    <row r="20" ht="25.5" customHeight="1">
      <c r="A20" t="inlineStr">
        <is>
          <t xml:space="preserve">DJI Action 6 </t>
        </is>
      </c>
      <c r="B20" t="inlineStr">
        <is>
          <t>P1</t>
        </is>
      </c>
      <c r="C20"/>
      <c r="D20" t="inlineStr">
        <is>
          <t>拍摄设备</t>
        </is>
      </c>
      <c r="E20" t="inlineStr">
        <is>
          <t>间接竞品</t>
        </is>
      </c>
      <c r="F20" t="inlineStr">
        <is>
          <t>2025 年 11 月 13 日</t>
        </is>
      </c>
      <c r="G20" t="inlineStr">
        <is>
          <t>DJI</t>
        </is>
      </c>
      <c r="H20" s="2" t="str">
        <f>=HYPERLINK("https://www.dji.com/cn/osmo-action-6?site=brandsite&amp;from=landing_page", "https://www.dji.com/cn/osmo-action-6?site=brandsite&amp;from=landing_page")</f>
        <v>https://www.dji.com/cn/osmo-action-6?site=brandsite&amp;from=landing_page</v>
      </c>
      <c r="I20" t="inlineStr">
        <is>
          <t>全能旗舰运动相机，主打极限环境 + 高画质 + 耐用性</t>
        </is>
      </c>
      <c r="J20" t="inlineStr">
        <is>
          <t>中国、欧美、日韩为主</t>
        </is>
      </c>
      <c r="K20" t="inlineStr">
        <is>
          <t>极限运动爱好者、户外博主、水下拍摄、Vlog 创作者、摩托车/骑行群体</t>
        </is>
      </c>
      <c r="L20" t="inlineStr">
        <is>
          <t>标准版 2998 元；畅拍套装 3698 元（配件和电池更多）</t>
        </is>
      </c>
      <c r="M20" t="inlineStr">
        <is>
          <t>大疆官网、京东、天猫、抖音、线下旗舰店 / 授权店DJI</t>
        </is>
      </c>
      <c r="N20" t="inlineStr">
        <is>
          <t>2026 春节档：大疆运动相机市场份额61.1%</t>
        </is>
      </c>
      <c r="O20" t="inlineStr">
        <is>
          <t>image.png,image.png</t>
        </is>
      </c>
      <c r="P20" t="inlineStr">
        <is>
          <t>/</t>
        </is>
      </c>
      <c r="Q20"/>
      <c r="R20" t="inlineStr">
        <is>
          <t>149g</t>
        </is>
      </c>
      <c r="S20" t="inlineStr">
        <is>
          <t>IP68 防水；EN13319 潜水认证；CE, FCC, SRRC, RoHS</t>
        </is>
      </c>
      <c r="T20" t="inlineStr">
        <is>
          <t>大疆定制 ISP + 主控芯片</t>
        </is>
      </c>
      <c r="U20" t="inlineStr">
        <is>
          <t>/</t>
        </is>
      </c>
      <c r="V20" t="inlineStr">
        <is>
          <t>内置 50GB+microSD 卡扩展</t>
        </is>
      </c>
      <c r="W20" t="inlineStr">
        <is>
          <t>前屏：1.46英寸OLED（342×342，800cd/㎡）后屏：2.5英寸OLED（400×712，峰值1000cd㎡）双OLED高亮触控屏</t>
        </is>
      </c>
      <c r="X20" t="inlineStr">
        <is>
          <t>底层：定制嵌入式 Linux
上层：Osmo 360 固件</t>
        </is>
      </c>
      <c r="Y20" t="inlineStr">
        <is>
          <t>单扬声器；
3麦克风；OsmoAudio双麦直连</t>
        </is>
      </c>
      <c r="Z20" t="inlineStr">
        <is>
          <t>Wi‑Fi 6.0+蓝牙5.1</t>
        </is>
      </c>
      <c r="AA20" t="inlineStr">
        <is>
          <t>1/1.1 英寸方形 CMOS；可变光圈f/2.0‑f/4.0；4K/120fps；20 米防水DJI</t>
        </is>
      </c>
      <c r="AB20" t="inlineStr">
        <is>
          <t>1950mAh（耐寒增强）
1080p/24fps：4 小时；4K/60fps：127 分钟；
22 分钟充 80%；
52 分钟满电</t>
        </is>
      </c>
      <c r="AC20" t="inlineStr">
        <is>
          <t>陀螺仪、加速度计、地磁传感器、气压计、色温传感器、专业水压计</t>
        </is>
      </c>
      <c r="AD20" t="inlineStr">
        <is>
          <t>传感器：索尼、
声学：歌尔、
电池：比亚迪</t>
        </is>
      </c>
      <c r="AE20" t="inlineStr">
        <is>
          <t>核心：极限运动拍摄、户外旅行、水下拍摄
次要：Vlog、户外直播</t>
        </is>
      </c>
      <c r="AF20" t="inlineStr">
        <is>
          <t>image.png,image.png</t>
        </is>
      </c>
      <c r="AG20" t="inlineStr">
        <is>
          <t>image.png,image.png</t>
        </is>
      </c>
      <c r="AH20" t="inlineStr">
        <is>
          <t>自研模型</t>
        </is>
      </c>
      <c r="AI20" t="inlineStr">
        <is>
          <t>支持手掌手势控制（2米范围内可控制开录、停录，佩戴手套也可精准操作），QS快捷按键可盲按切换功能</t>
        </is>
      </c>
      <c r="AJ20" t="inlineStr">
        <is>
          <t>不怕摔、不怕水、秒开秒录、可变光圈+大底画质细腻</t>
        </is>
      </c>
      <c r="AK20" t="inlineStr">
        <is>
          <t>画质和Pocket系列有差距；默认色温偏暖，后期调色成本高；机身内置麦克风降噪一般，户外风大时杂音明显；部分高级功能需付费解锁</t>
        </is>
      </c>
      <c r="AL20"/>
      <c r="AM20"/>
      <c r="AN20" t="inlineStr">
        <is>
          <t>机会点：大容量存储+长续航，麦克风抗噪能力更强。场景融合机会：填补“极限运动+安全防护+影像记录+AI交互”空白。</t>
        </is>
      </c>
      <c r="AO20" t="inlineStr">
        <is>
          <t>邓琤</t>
        </is>
      </c>
      <c r="AP20"/>
    </row>
    <row r="21" ht="25.5" customHeight="1">
      <c r="A21" t="inlineStr">
        <is>
          <t>DJI Pocket 3</t>
        </is>
      </c>
      <c r="B21" t="inlineStr">
        <is>
          <t>P1</t>
        </is>
      </c>
      <c r="C21"/>
      <c r="D21" t="inlineStr">
        <is>
          <t>拍摄设备</t>
        </is>
      </c>
      <c r="E21" t="inlineStr">
        <is>
          <t>间接竞品</t>
        </is>
      </c>
      <c r="F21" t="inlineStr">
        <is>
          <t>2023 年 10 月 25 日</t>
        </is>
      </c>
      <c r="G21" t="inlineStr">
        <is>
          <t>DJI</t>
        </is>
      </c>
      <c r="H21" s="2" t="str">
        <f>=HYPERLINK("https://www.dji.com/cn/osmo-pocket-3?site=brandsite&amp;from=landing_page", "https://www.dji.com/cn/osmo-pocket-3?site=brandsite&amp;from=landing_page")</f>
        <v>https://www.dji.com/cn/osmo-pocket-3?site=brandsite&amp;from=landing_page</v>
      </c>
      <c r="I21" t="inlineStr">
        <is>
          <t>便携 Vlog 主力机、画质、云台防抖、智能跟随</t>
        </is>
      </c>
      <c r="J21" t="inlineStr">
        <is>
          <t>中国、欧美、东南亚</t>
        </is>
      </c>
      <c r="K21" t="inlineStr">
        <is>
          <t>Vlog 博主、旅行爱好者、日常记录、短视频创作者、自媒体</t>
        </is>
      </c>
      <c r="L21" t="inlineStr">
        <is>
          <t>标准版 3499 元；全能套装 4499 元DJI
DJI Care 189 元/年；299元/2年</t>
        </is>
      </c>
      <c r="M21" t="inlineStr">
        <is>
          <t>大疆官网、电商平台、线下店（发布后）</t>
        </is>
      </c>
      <c r="N21" t="inlineStr">
        <is>
          <t>上市首年：500 万台（营收≈200 亿）
累计：破 1000 万台
日本市场份额最高34.1%</t>
        </is>
      </c>
      <c r="O21" t="inlineStr">
        <is>
          <t>image.png,image.png</t>
        </is>
      </c>
      <c r="P21" t="inlineStr">
        <is>
          <t>/</t>
        </is>
      </c>
      <c r="Q21"/>
      <c r="R21" t="inlineStr">
        <is>
          <t>179g</t>
        </is>
      </c>
      <c r="S21" t="inlineStr">
        <is>
          <t>CE, FCC, SRRC, RoHS</t>
        </is>
      </c>
      <c r="T21" t="inlineStr">
        <is>
          <t>大疆定制 ISP + 主控芯片</t>
        </is>
      </c>
      <c r="U21" t="inlineStr">
        <is>
          <t>/</t>
        </is>
      </c>
      <c r="V21" t="inlineStr">
        <is>
          <t>无内置存储，仅 microSD 卡</t>
        </is>
      </c>
      <c r="W21" t="inlineStr">
        <is>
          <t>2英寸OLED旋转触控屏（556×314，700cd/㎡）翻转即开机横竖屏切换</t>
        </is>
      </c>
      <c r="X21" t="inlineStr">
        <is>
          <t>底层：定制嵌入式 Linux
上层：Osmo 360 固件</t>
        </is>
      </c>
      <c r="Y21" t="inlineStr">
        <is>
          <t>单扬声器；
3阵列麦克风；立体声；支持DJI Mic 2直连</t>
        </is>
      </c>
      <c r="Z21" t="inlineStr">
        <is>
          <t>Wi‑Fi 5 + 蓝牙 5.2</t>
        </is>
      </c>
      <c r="AA21" t="inlineStr">
        <is>
          <t>1 英寸 CMOS；f/2.0；等效 20mm；4K/120fps；三轴云台</t>
        </is>
      </c>
      <c r="AB21" t="inlineStr">
        <is>
          <t>1300mAh
1080p/24fps：166 分钟；
4K/60fps：116 分钟
16分钟充80%电，32分钟充满</t>
        </is>
      </c>
      <c r="AC21" t="inlineStr">
        <is>
          <t>陀螺仪、加速度计、地磁传感器、距离传感器</t>
        </is>
      </c>
      <c r="AD21" t="inlineStr">
        <is>
          <t>索尼（IMX989）、大疆自研（云台 / ISP / 电机）、京东方/维信诺（OLED屏幕）、ATL（电池）</t>
        </is>
      </c>
      <c r="AE21" t="inlineStr">
        <is>
          <t>核心：Vlog创作、旅行拍摄、Ai一键成片、日常碎片。清晰捕捉人声。</t>
        </is>
      </c>
      <c r="AF21"/>
      <c r="AG21"/>
      <c r="AH21" t="inlineStr">
        <is>
          <t>自研模型</t>
        </is>
      </c>
      <c r="AI21" t="inlineStr">
        <is>
          <t>摇杆按键盲操可控云台方向、镜头回正、前后翻转，录像键一键开机录制</t>
        </is>
      </c>
      <c r="AJ21" t="inlineStr">
        <is>
          <t>出色画质和质感、人脸跟随死死咬住、云台防抖强、三麦收音干净、快充快，补电也方便、支持竖屏。</t>
        </is>
      </c>
      <c r="AK21" t="inlineStr">
        <is>
          <t>机身脆，传输效率低，操作不便接，即时性差（从背包-保护包-三秒开机）</t>
        </is>
      </c>
      <c r="AL21"/>
      <c r="AM21" t="inlineStr">
        <is>
          <t>自动轴锁：关闭相机后，云台将自动锁定至收纳位
智能跟随：可以选主角跟随、预构图跟随、基础跟随，被跟随物体能稳定在画中</t>
        </is>
      </c>
      <c r="AN21"/>
      <c r="AO21" t="inlineStr">
        <is>
          <t>邓琤</t>
        </is>
      </c>
      <c r="AP21"/>
    </row>
    <row r="22" ht="25.5" customHeight="1">
      <c r="A22" t="inlineStr">
        <is>
          <t>DJI Pocket 4</t>
        </is>
      </c>
      <c r="B22" t="inlineStr">
        <is>
          <t>P1</t>
        </is>
      </c>
      <c r="C22"/>
      <c r="D22" t="inlineStr">
        <is>
          <t>拍摄设备</t>
        </is>
      </c>
      <c r="E22" t="inlineStr">
        <is>
          <t>间接竞品</t>
        </is>
      </c>
      <c r="F22" t="inlineStr">
        <is>
          <t>2026 年 3 月 26 日</t>
        </is>
      </c>
      <c r="G22" t="inlineStr">
        <is>
          <t>DJI</t>
        </is>
      </c>
      <c r="H22" s="2"/>
      <c r="I22" t="inlineStr">
        <is>
          <t>1英⼨主摄+⻓焦双摄、四轴磁悬浮云台；116g超轻机⾝6K/60fps；
200+分钟续航；Wi-Fi6；磁吸补光灯</t>
        </is>
      </c>
      <c r="J22" t="inlineStr">
        <is>
          <t>中国、欧美、东南亚</t>
        </is>
      </c>
      <c r="K22" t="inlineStr">
        <is>
          <t>轻量化 Vlog 创作者、旅行博主、学生、家庭用户、内容创作者</t>
        </is>
      </c>
      <c r="L22" t="inlineStr">
        <is>
          <t>标准版 3800–4500 元；全能套装 4800-5160元</t>
        </is>
      </c>
      <c r="M22" t="inlineStr">
        <is>
          <t>大疆官网、电商平台、线下店（发布后）</t>
        </is>
      </c>
      <c r="N22" t="inlineStr">
        <is>
          <t>未上市</t>
        </is>
      </c>
      <c r="O22"/>
      <c r="P22" t="inlineStr">
        <is>
          <t>/</t>
        </is>
      </c>
      <c r="Q22"/>
      <c r="R22" t="inlineStr">
        <is>
          <t>116g</t>
        </is>
      </c>
      <c r="S22" t="inlineStr">
        <is>
          <t>/</t>
        </is>
      </c>
      <c r="T22" t="inlineStr">
        <is>
          <t>大疆定制 ISP + 主控芯片</t>
        </is>
      </c>
      <c r="U22" t="inlineStr">
        <is>
          <t>/</t>
        </is>
      </c>
      <c r="V22" t="inlineStr">
        <is>
          <t>内置存储+microSD扩展（预测）</t>
        </is>
      </c>
      <c r="W22" t="inlineStr">
        <is>
          <t>2英寸OLED旋转屏（亮度提升至1000cd/㎡）新增物理变焦拨轮+自定义键</t>
        </is>
      </c>
      <c r="X22" t="inlineStr">
        <is>
          <t>底层：定制嵌入式 Linux
上层：Osmo 360 固件</t>
        </is>
      </c>
      <c r="Y22" t="inlineStr">
        <is>
          <t>单扬声器；
4麦克风阵列；AI降噪；多设备同步收音</t>
        </is>
      </c>
      <c r="Z22" t="inlineStr">
        <is>
          <t>Wi‑Fi 6 + 蓝牙</t>
        </is>
      </c>
      <c r="AA22" t="inlineStr">
        <is>
          <t>1 英寸主摄 + 长焦双摄；6K/60fps；四轴云台；磁吸补光灯</t>
        </is>
      </c>
      <c r="AB22" t="inlineStr">
        <is>
          <t>1545mAh（典型≈1600mAh）
4K/60fps：200 + 分钟</t>
        </is>
      </c>
      <c r="AC22" t="inlineStr">
        <is>
          <t>新增重力传感器、光线传感器</t>
        </is>
      </c>
      <c r="AD22" t="inlineStr">
        <is>
          <t>/</t>
        </is>
      </c>
      <c r="AE22"/>
      <c r="AF22"/>
      <c r="AG22"/>
      <c r="AH22" t="inlineStr">
        <is>
          <t>自研模型</t>
        </is>
      </c>
      <c r="AI22" t="inlineStr">
        <is>
          <t>新增物理变焦拨轮可盲拨调节倍率，自定义C键可预设常用功能</t>
        </is>
      </c>
      <c r="AJ22" t="inlineStr">
        <is>
          <t>超轻、长时间手持无压力</t>
        </is>
      </c>
      <c r="AK22" t="inlineStr">
        <is>
          <t>比Pocket 3 提升有限电池、四轴云台、磁吸补光灯，影像核心传感器没有更新</t>
        </is>
      </c>
      <c r="AL22"/>
      <c r="AM22"/>
      <c r="AN22"/>
      <c r="AO22" t="inlineStr">
        <is>
          <t>邓琤</t>
        </is>
      </c>
      <c r="AP22"/>
    </row>
    <row r="23" ht="25.5" customHeight="1">
      <c r="A23" t="inlineStr">
        <is>
          <t>Insta 360 Go3s 拇指相机</t>
        </is>
      </c>
      <c r="B23" t="inlineStr">
        <is>
          <t>P1</t>
        </is>
      </c>
      <c r="C23"/>
      <c r="D23" t="inlineStr">
        <is>
          <t>拍摄设备</t>
        </is>
      </c>
      <c r="E23" t="inlineStr">
        <is>
          <t>间接竞品</t>
        </is>
      </c>
      <c r="F23" t="inlineStr">
        <is>
          <t>2024年6月</t>
        </is>
      </c>
      <c r="G23" t="inlineStr">
        <is>
          <t>Insta360</t>
        </is>
      </c>
      <c r="H23" s="2" t="str">
        <f>=HYPERLINK("https://www.insta360.com/cn/product/insta360-go3s", "https://www.insta360.com/cn/product/insta360-go3s")</f>
        <v>https://www.insta360.com/cn/product/insta360-go3s</v>
      </c>
      <c r="I23" t="inlineStr">
        <is>
          <t>*极致轻盈： 仅重 39g，佩戴几乎无感，视角更自然、更贴身。
*省心拍摄： 独家 “间隔录制” 功能，无需操作，AI 帮你自动捕捉全天高光。
*取景无忧： 扩展舱配有 2.2 英寸翻转触控屏，自拍构图极度友好。
*丢不了： 接入 Apple Find My（查找）网络，单机丢失也能轻松找回。</t>
        </is>
      </c>
      <c r="J23" t="inlineStr">
        <is>
          <t>全覆盖： 美国、中国、欧洲、日本、东南亚、巴西、印度等全球绝大多数主流市场。</t>
        </is>
      </c>
      <c r="K23" t="inlineStr">
        <is>
          <t>适合日常记录生活、接送孩子、拍猫拍狗、追求极致轻盈，且依赖手机端 AI 剪辑快速发朋友圈/抖音的用户。</t>
        </is>
      </c>
      <c r="L23" t="inlineStr">
        <is>
          <t>2498</t>
        </is>
      </c>
      <c r="M23" t="inlineStr">
        <is>
          <t>线上： Insta360 官方商城、京东/天猫/Amazon/AliExpress 旗舰店。
线下： Apple Store（全球 Apple Store 线下零售店常驻）、Best Buy（百思买）、Target、MediaMarkt。
优势： 全球化渗透率更高，在 Apple Store 和大型数码商超极易找到样机并购买。</t>
        </is>
      </c>
      <c r="N23" t="inlineStr">
        <is>
          <t>单品表现： 尽管在单项销量份额上被 Nano 追赶，但 GO 3S 与新款 GO Ultra 合计仍占据了约 19.2% 的市场份额。</t>
        </is>
      </c>
      <c r="O23" t="inlineStr">
        <is>
          <t>image.png,image.png</t>
        </is>
      </c>
      <c r="P23" t="inlineStr">
        <is>
          <t>黑/白/支持涂装定制</t>
        </is>
      </c>
      <c r="Q23" t="inlineStr">
        <is>
          <t>高强度复合塑料（ABS+PC）</t>
        </is>
      </c>
      <c r="R23" t="inlineStr">
        <is>
          <t>39g（本体）</t>
        </is>
      </c>
      <c r="S23" t="inlineStr">
        <is>
          <t>通用合规认证（全球通用）
这两款设备在进入北美、欧盟等主要市场前，都必须获得以下认证：
*FCC 认证 (美国)： 这是针对无线电设备的强制性认证。两款相机的 Wi-Fi 和蓝牙功能（2.4GHz 和 5.8GHz 频段）都经过 FCC 测试，确保其**射频辐射（RF Exposure）**及电磁干扰在安全范围内。
注：DJI Osmo Nano 的 FCC ID 为 2ANDR-ON00125，这证明了其在美销售的合规性。
*CE 认证 (欧盟/欧洲经济区)： 表明产品符合欧盟关于安全、健康和环保的标准。其中包括了电磁兼容性（EMC）、无线电频谱使用以及针对人体的安全防护。
*RoHS 认证 (环保)： 两款产品均需符合欧盟的《关于在电子电气设备中限制使用某些有害物质指令》，即产品内不含铅、汞、镉等有害重金属，确保电子垃圾处理的环保合规性。
*SRRC 认证 (中国)： 中国境内销售的无线电发射设备，必须通过型号核准，以确保无线通信符合中国无线电管理标准。
2. 安全与性能标准
IP 防水等级认证： 两者均标称 10 米防水。经过压力测试，确保在 10 米水深下的密封性和压力耐受性。
*电池安全认证 (UN38.3)： 作为携带锂电池的设备，它们都必须通过 UN38.3 航空运输安全测试，这保证了它们在长途飞行、高压或高温环境下不会发生起火或爆炸。</t>
        </is>
      </c>
      <c r="T23" t="inlineStr">
        <is>
          <t>14nm 影像处理芯片 (注重功耗比)</t>
        </is>
      </c>
      <c r="U23"/>
      <c r="V23" t="inlineStr">
        <is>
          <t>GO 3S： 仅内置 64GB/128GB 存储，不支持物理插卡扩展。</t>
        </is>
      </c>
      <c r="W23"/>
      <c r="X23"/>
      <c r="Y23" t="inlineStr">
        <is>
          <t>音频： 24-bit/48kHz。内置双麦克风，支持风噪过滤，但无法原生直连专业无线麦克风。</t>
        </is>
      </c>
      <c r="Z23"/>
      <c r="AA23" t="inlineStr">
        <is>
          <t>1/2.3 英寸 CMOS (传统运动相机尺寸)
1200 万像素 (4000×3000)
最高画质： 4K/30fps (4:3) 以及 2.7K/50fps。
慢动作： 2.7K/100fps 或 1080p/200fps。
视频码率： 最高 80 Mbps。</t>
        </is>
      </c>
      <c r="AB23" t="inlineStr">
        <is>
          <t>310 mAh (约 38 分钟) 
拓展仓1270 mAh
充电速度：约 47 分钟充至 80%
</t>
        </is>
      </c>
      <c r="AC23" t="inlineStr">
        <is>
          <t>GO 3S： 采用 Wi-Fi 5 协议，蓝牙 5.0，支持苹果 Find My 硬件认证。</t>
        </is>
      </c>
      <c r="AD23"/>
      <c r="AE23" t="inlineStr">
        <is>
          <t xml:space="preserve"> Insta360 GO 3S：极致的“省心与体验”
轻盈无感： 相机仅重 39g（比 DJI 轻约 13g），挂在领口或帽檐上的坠物感更小。
全自动记录： 独家 “间隔录影” 功能，相机定时自动拍摄，无需动手即可记录全天高光。
翻转自拍： 扩展舱配有 2.2 英寸翻转触控屏，自拍、Vlog 构图比 DJI 的固定屏更直观。
苹果防丢： 接入 Apple Find My（查找）网络，单机丢失可通过 iPhone 快速定位。</t>
        </is>
      </c>
      <c r="AF23"/>
      <c r="AG23"/>
      <c r="AH23"/>
      <c r="AI23"/>
      <c r="AJ23" t="inlineStr">
        <is>
          <t>AI 剪辑是懒人救星： “拍完不用管，App 直接出片。” 很多宝妈和宠物主反馈，Insta360 的模板非常契合小红书的审美，一键成片率极高。
翻转屏自拍神器： “能看到脸真的很重要。” 2.2 英寸的大翻转屏在拍 Vlog 或合影时极大提高了构图成功率。
间隔录制功能： “挂在胸前一整天，自动捕捉孩子的高光瞬间。” 这个功能在社媒上的讨论热度极高，被誉为“第一视角扫街利器”。
生态配件丰富： 第三方支架、边框多得数不过来，可玩性极强。</t>
        </is>
      </c>
      <c r="AK23" t="inlineStr">
        <is>
          <t>画质“见光死”： 只要天色稍微暗一点，或者在光线不佳的室内，画质就产生严重的涂抹感，“只能发朋友圈，不能放大看”。
内存焦虑： 内置存储空间有限，一旦拍满必须传到手机才能腾地方，传大文件时手机会非常烫。
单机易丢： 虽然有 Find My 认证，但单机太小，磁吸一旦不稳脱落，在草丛或杂乱环境下依然很难找回。</t>
        </is>
      </c>
      <c r="AL23"/>
      <c r="AM23"/>
      <c r="AN23" t="inlineStr">
        <is>
          <t>适合家庭和大众vlog记录，AI剪辑先行者</t>
        </is>
      </c>
      <c r="AO23" t="inlineStr">
        <is>
          <t>记星</t>
        </is>
      </c>
      <c r="AP23"/>
    </row>
    <row r="24" ht="25.5" customHeight="1">
      <c r="A24" t="inlineStr">
        <is>
          <t>Insta Nano</t>
        </is>
      </c>
      <c r="B24" t="inlineStr">
        <is>
          <t>P1</t>
        </is>
      </c>
      <c r="C24"/>
      <c r="D24" t="inlineStr">
        <is>
          <t>拍摄设备</t>
        </is>
      </c>
      <c r="E24" t="inlineStr">
        <is>
          <t>间接竞品</t>
        </is>
      </c>
      <c r="F24"/>
      <c r="G24"/>
      <c r="H24" s="2"/>
      <c r="I24"/>
      <c r="J24"/>
      <c r="K24"/>
      <c r="L24"/>
      <c r="M24"/>
      <c r="N24"/>
      <c r="O24"/>
      <c r="P24"/>
      <c r="Q24"/>
      <c r="R24"/>
      <c r="S24"/>
      <c r="T24"/>
      <c r="U24"/>
      <c r="V24"/>
      <c r="W24"/>
      <c r="X24"/>
      <c r="Y24"/>
      <c r="Z24"/>
      <c r="AA24"/>
      <c r="AB24"/>
      <c r="AC24"/>
      <c r="AD24"/>
      <c r="AE24"/>
      <c r="AF24"/>
      <c r="AG24"/>
      <c r="AH24"/>
      <c r="AI24"/>
      <c r="AJ24"/>
      <c r="AK24"/>
      <c r="AL24"/>
      <c r="AM24"/>
      <c r="AN24"/>
      <c r="AO24" t="inlineStr">
        <is>
          <t>记星</t>
        </is>
      </c>
      <c r="AP24"/>
    </row>
    <row r="25" ht="25.5" customHeight="1">
      <c r="A25" t="inlineStr">
        <is>
          <t>DJI Osmo Nano</t>
        </is>
      </c>
      <c r="B25" t="inlineStr">
        <is>
          <t>P1</t>
        </is>
      </c>
      <c r="C25"/>
      <c r="D25" t="inlineStr">
        <is>
          <t>拍摄设备</t>
        </is>
      </c>
      <c r="E25" t="inlineStr">
        <is>
          <t>间接竞品</t>
        </is>
      </c>
      <c r="F25" t="inlineStr">
        <is>
          <t>2025年9月</t>
        </is>
      </c>
      <c r="G25" t="inlineStr">
        <is>
          <t>DJI</t>
        </is>
      </c>
      <c r="H25" s="2" t="str">
        <f>=HYPERLINK("https://www.dji.com/cn/nano?site=brandsite&amp;from=landing_page", "https://www.dji.com/cn/nano?site=brandsite&amp;from=landing_page")</f>
        <v>https://www.dji.com/cn/nano?site=brandsite&amp;from=landing_page</v>
      </c>
      <c r="I25" t="inlineStr">
        <is>
          <t>*画质天花板： 搭载 1/1.3 英寸大底传感器，暗光表现和动态范围同类最强。
*性能怪兽： 支持 4K/60fps 丝滑录制及 4K/120fps 电影级慢动作。
*存储自由： 唯一支持 microSD 卡扩展的微型相机，彻底告别内存焦虑。
*专业音频： 可直连 DJI Mic 2 麦克风，Vlog 录音音质断层领先。</t>
        </is>
      </c>
      <c r="J25" t="inlineStr">
        <is>
          <t>核心市场： 中国、东南亚（新马泰等）、欧洲、澳洲、加拿大。</t>
        </is>
      </c>
      <c r="K25" t="inlineStr">
        <is>
          <t>适合对画质有执念、需要 4K/60fps 录制运动素材、经常需要后期调色，或者经常拍摄超过 100GB 内容的用户。它是目前性能最强的微型相机。</t>
        </is>
      </c>
      <c r="L25" t="inlineStr">
        <is>
          <t>1998</t>
        </is>
      </c>
      <c r="M25" t="inlineStr">
        <is>
          <t>线上： DJI 大疆商城（官网/App）、京东/天猫旗舰店、全球 Amazon、B&amp;H、Adorama。
线下： DJI 官方旗舰店、D1 Store（澳洲）、各类授权零售店。
注意： 在美国市场，由于政策影响，官方商城可能不直售，主要通过 Amazon 等第三方渠道或海淘。</t>
        </is>
      </c>
      <c r="N25" t="inlineStr">
        <is>
          <t>出货估算： 结合 DJI 整体运动相机营收占全球 66% 的趋势，Osmo Nano 在上市后的首个完整季度（2025 Q4）全球出货量估计已突破 40 万台。
DJI Osmo Nano 凭借单机型拿下了约 69.0% 的销量份额，表现出极强的统治力。</t>
        </is>
      </c>
      <c r="O25" t="inlineStr">
        <is>
          <t>image.png,image.png</t>
        </is>
      </c>
      <c r="P25" t="inlineStr">
        <is>
          <t>单色（半透黑）</t>
        </is>
      </c>
      <c r="Q25" t="inlineStr">
        <is>
          <t>高强度复合塑料（ABS+PC）</t>
        </is>
      </c>
      <c r="R25" t="inlineStr">
        <is>
          <t>52g（本体）</t>
        </is>
      </c>
      <c r="S25" t="inlineStr">
        <is>
          <t>新增：
Insta360 GO 3S 具有Apple Find My功能</t>
        </is>
      </c>
      <c r="T25" t="inlineStr">
        <is>
          <t>定制高性能高性能处理器 (支持 10-bit 编码)</t>
        </is>
      </c>
      <c r="U25"/>
      <c r="V25" t="inlineStr">
        <is>
          <t>DJI Nano： 提供 64GB/128GB 内置存储。最大的硬件突破是Vision Dock（扩展舱）自带 microSD 卡槽，支持最高 1TB 扩展。</t>
        </is>
      </c>
      <c r="W25"/>
      <c r="X25"/>
      <c r="Y25" t="inlineStr">
        <is>
          <t>音频： 16-bit/48kHz。核心优势是支持数字协议直连两个 DJI Mic 2 发射器，提供广播级收音。</t>
        </is>
      </c>
      <c r="Z25"/>
      <c r="AA25" t="inlineStr">
        <is>
          <t>1/1.3 英寸 CMOS (同 Action 5 Pro 同级)
3500 万像素 (6880×5160)
最高画质： 4K/60fps (16:9) 以及 4K/50fps (4:3)。
极致慢动作： 4K/120fps 或 1080p/240fps（8倍慢动作）。
视频码率： 最高 120 Mbps。</t>
        </is>
      </c>
      <c r="AB25" t="inlineStr">
        <is>
          <t>530 mAh (约 90 分钟)
扩展舱电池1300 mAh
充电速度快充：20 分钟充至 80%</t>
        </is>
      </c>
      <c r="AC25" t="inlineStr">
        <is>
          <t>DJI Nano： 采用 Wi-Fi 6 协议，支持 2.4/5.8GHz 双频，无线图传延迟更低，文件传输速度高达 600MB/s（128G版）。</t>
        </is>
      </c>
      <c r="AD25"/>
      <c r="AE25" t="inlineStr">
        <is>
          <t>DJI Osmo Nano：极致的“画质与性能”
大底画质： 搭载 1/1.3 英寸传感器（同级别最大），夜景和高动态场景清晰度断层领先。
丝滑高帧： 支持 4K/60fps 录制和 4K/120fps 慢动作，画面流畅度远超竞品。
无限存储： 扩展舱内置 microSD 卡槽，彻底解决微型相机内存不可扩容的痛点。
专业收音： 原生支持数字直连 DJI Mic 2，是 Vlog、访谈等场景的最佳收音方案。</t>
        </is>
      </c>
      <c r="AF25"/>
      <c r="AG25"/>
      <c r="AH25"/>
      <c r="AI25"/>
      <c r="AJ25" t="inlineStr">
        <is>
          <t>夜景/暗光的神： “大底就是硬道理。” 许多博主对比发现，Nano 在室内餐厅或傍晚拍摄时，画面纯净度远超 GO 3S，不再是满屏噪点。
存储扩容太感人： “终于不用边拍边删了。” 扩展舱支持插卡被公认为 2025 年微型相机最人性化的进步。
直连 Mic 2： 很多 Vlog 博主反馈，省去了接收器的重量，收音效果直接起飞，非常适合户外解说。
快充效率： 充电 20 分钟就能回大半血，适合特种兵式旅游。</t>
        </is>
      </c>
      <c r="AK25" t="inlineStr">
        <is>
          <t>重量压领口： “52g 真的有点沉。” 如果穿轻薄的丝绸或纯棉 T 恤，挂上后领口会明显变形，甚至镜头会随着走路乱晃。
发热明显： 在拍摄 4K/60fps 高码率视频时，机身发烫速度快，有用户反馈在夏天户外录制长视频会导致过热关机。
固定屏幕： 预览屏不能翻转，自拍时需要靠直觉构图或连接手机，不如 GO 3S 方便。</t>
        </is>
      </c>
      <c r="AL25"/>
      <c r="AM25"/>
      <c r="AN25" t="inlineStr">
        <is>
          <t>更垂直更聚焦，硬件生态更有优势</t>
        </is>
      </c>
      <c r="AO25" t="inlineStr">
        <is>
          <t>记星</t>
        </is>
      </c>
      <c r="AP25" t="inlineStr">
        <is>
          <t>自定义HUD显示数据在分享的拍摄素材上。
更大画幅和帧数取舍考虑。</t>
        </is>
      </c>
    </row>
    <row r="26" ht="25.5" customHeight="1">
      <c r="A26" t="inlineStr">
        <is>
          <t>Looki</t>
        </is>
      </c>
      <c r="B26" t="inlineStr">
        <is>
          <t>P1</t>
        </is>
      </c>
      <c r="C26"/>
      <c r="D26" t="inlineStr">
        <is>
          <t>拍摄设备</t>
        </is>
      </c>
      <c r="E26" t="inlineStr">
        <is>
          <t>参照品</t>
        </is>
      </c>
      <c r="F26"/>
      <c r="G26"/>
      <c r="H26" s="2"/>
      <c r="I26"/>
      <c r="J26"/>
      <c r="K26"/>
      <c r="L26"/>
      <c r="M26"/>
      <c r="N26"/>
      <c r="O26"/>
      <c r="P26"/>
      <c r="Q26"/>
      <c r="R26"/>
      <c r="S26"/>
      <c r="T26"/>
      <c r="U26"/>
      <c r="V26"/>
      <c r="W26"/>
      <c r="X26"/>
      <c r="Y26"/>
      <c r="Z26"/>
      <c r="AA26"/>
      <c r="AB26"/>
      <c r="AC26"/>
      <c r="AD26"/>
      <c r="AE26"/>
      <c r="AF26"/>
      <c r="AG26"/>
      <c r="AH26"/>
      <c r="AI26"/>
      <c r="AJ26"/>
      <c r="AK26"/>
      <c r="AL26"/>
      <c r="AM26"/>
      <c r="AN26"/>
      <c r="AO26" t="inlineStr">
        <is>
          <t>李洋</t>
        </is>
      </c>
      <c r="AP26"/>
    </row>
    <row r="27" ht="25.5" customHeight="1">
      <c r="A27" t="inlineStr">
        <is>
          <t>大疆 NEO2 无人机</t>
        </is>
      </c>
      <c r="B27" t="inlineStr">
        <is>
          <t>P1</t>
        </is>
      </c>
      <c r="C27"/>
      <c r="D27" t="inlineStr">
        <is>
          <t>拍摄设备</t>
        </is>
      </c>
      <c r="E27" t="inlineStr">
        <is>
          <t>间接竞品</t>
        </is>
      </c>
      <c r="F27"/>
      <c r="G27"/>
      <c r="H27" s="2"/>
      <c r="I27"/>
      <c r="J27"/>
      <c r="K27"/>
      <c r="L27"/>
      <c r="M27"/>
      <c r="N27"/>
      <c r="O27"/>
      <c r="P27"/>
      <c r="Q27"/>
      <c r="R27"/>
      <c r="S27"/>
      <c r="T27"/>
      <c r="U27"/>
      <c r="V27"/>
      <c r="W27"/>
      <c r="X27"/>
      <c r="Y27"/>
      <c r="Z27"/>
      <c r="AA27"/>
      <c r="AB27"/>
      <c r="AC27"/>
      <c r="AD27"/>
      <c r="AE27"/>
      <c r="AF27"/>
      <c r="AG27"/>
      <c r="AH27"/>
      <c r="AI27"/>
      <c r="AJ27"/>
      <c r="AK27"/>
      <c r="AL27"/>
      <c r="AM27"/>
      <c r="AN27"/>
      <c r="AO27" t="inlineStr">
        <is>
          <t>李洋</t>
        </is>
      </c>
      <c r="AP27"/>
    </row>
    <row r="28" ht="25.5" customHeight="1">
      <c r="A28" t="inlineStr">
        <is>
          <t>豆包耳机</t>
        </is>
      </c>
      <c r="B28" t="inlineStr">
        <is>
          <t>P1</t>
        </is>
      </c>
      <c r="C28"/>
      <c r="D28" t="inlineStr">
        <is>
          <t>耳机, Ai</t>
        </is>
      </c>
      <c r="E28" t="inlineStr">
        <is>
          <t>参照品</t>
        </is>
      </c>
      <c r="F28" t="inlineStr">
        <is>
          <t>2024年10月10日</t>
        </is>
      </c>
      <c r="G28" t="inlineStr">
        <is>
          <t>Ola Friend</t>
        </is>
      </c>
      <c r="H28" s="2" t="str">
        <f>=HYPERLINK("https://www.olafriend.com/product", "https://www.olafriend.com/product")</f>
        <v>https://www.olafriend.com/product</v>
      </c>
      <c r="I28" t="inlineStr">
        <is>
          <t>深度集成豆包AI： 无需掏出手机，通过语音指令“豆包豆包”即可唤醒 AI，支持实时对话、智能翻译、旅游向导及情感陪聊。
OWS开放式设计： 采用不入耳设计（Open Wearable Stereo），减轻耳道压力，适合长时间佩戴并保持对环境音的感知。
轻盈佩戴： 单耳仅重 6.6g，号称是同类产品中最轻的之一。
动态情绪表达： 豆包 AI 的声音具备情感起伏（如开心、惊讶），且支持随时打断对话。</t>
        </is>
      </c>
      <c r="J28" t="inlineStr">
        <is>
          <t>中国</t>
        </is>
      </c>
      <c r="K28" t="inlineStr">
        <is>
          <t>目标人群：
AI 爱好者： 渴望尝试最新大模型硬件交互的用户。
通勤/办公族： 需要长时间佩戴耳机且有翻译、日程记录需求的人群。
运动达人： 开放式设计适合跑步、骑行等需要安全感知的场景。</t>
        </is>
      </c>
      <c r="L28" t="inlineStr">
        <is>
          <t>1199</t>
        </is>
      </c>
      <c r="M28" t="inlineStr">
        <is>
          <t>抖音商城（主力）、京东、天猫及部分线下体验店</t>
        </is>
      </c>
      <c r="N28" t="inlineStr">
        <is>
          <t>目前京东：4w＋
发布初期反响热烈，多款配色（如黑色）在天猫、抖音一度售罄。字节跳动通过豆包 APP 的巨大流量（2700万+月活）进行精准转化，表现不俗。</t>
        </is>
      </c>
      <c r="O28" t="inlineStr">
        <is>
          <t>image.png</t>
        </is>
      </c>
      <c r="P28" t="inlineStr">
        <is>
          <t>丝绒白、轻羽黑、薄雾紫、灵动银</t>
        </is>
      </c>
      <c r="Q28"/>
      <c r="R28" t="inlineStr">
        <is>
          <t>单耳 6.6g，充电盒约 49g-55g</t>
        </is>
      </c>
      <c r="S28"/>
      <c r="T28"/>
      <c r="U28"/>
      <c r="V28"/>
      <c r="W28"/>
      <c r="X28"/>
      <c r="Y28" t="inlineStr">
        <is>
          <t>10mm 高动态驱动单元</t>
        </is>
      </c>
      <c r="Z28" t="inlineStr">
        <is>
          <t>Bluetooth 5.4（支持多点连接）</t>
        </is>
      </c>
      <c r="AA28"/>
      <c r="AB28" t="inlineStr">
        <is>
          <t>单次续航约 8 小时，配合充电盒总续航可达 28 小时</t>
        </is>
      </c>
      <c r="AC28"/>
      <c r="AD28" t="inlineStr">
        <is>
          <t>陀螺仪、加速度计、光线传感器、指纹识别传感器、双目视觉传感器</t>
        </is>
      </c>
      <c r="AE28"/>
      <c r="AF28"/>
      <c r="AG28"/>
      <c r="AH28" t="inlineStr">
        <is>
          <t>深度集成豆包AI： 无需掏出手机，通过语音指令“豆包豆包”即可唤醒 AI，支持实时对话、智能翻译、旅游向导及情感陪聊。</t>
        </is>
      </c>
      <c r="AI28"/>
      <c r="AJ28" t="inlineStr">
        <is>
          <t>交互自然： 语音唤醒灵敏，AI 对话的流畅度和情感表现优于传统语音助手。
佩戴舒适： 极轻且不塞耳，长时间佩戴无疼痛感。
翻译实用： 英语陪练和实时翻译功能深受学生和差旅人群好评。</t>
        </is>
      </c>
      <c r="AK28" t="inlineStr">
        <is>
          <t>音质局限： 由于是开放式设计，低音表现和降噪能力不如入耳式耳机。
依赖网络： AI 功能必须在手机联网且与豆包 APP 连接的情况下才能使用。
价格偏高： 部分用户认为 1199 元的价格在纯耳机硬件属性上性价比一般。</t>
        </is>
      </c>
      <c r="AL28"/>
      <c r="AM28" t="inlineStr">
        <is>
          <t>IP54 级防尘防水</t>
        </is>
      </c>
      <c r="AN28" t="inlineStr">
        <is>
          <t>Ola Friend（豆包耳机） 是一款“生而为AI”的硬件产品。它本质上是豆包APP的实体语音入口，核心价值在于免唤醒的AI交互和极佳的佩戴舒适度。如果你是豆包AI的深度用户或需要全天候语音助手，它是目前市场上的天花板；但如果你单纯追求 Hi-Fi 音质或主动降噪，它可能不是首选。</t>
        </is>
      </c>
      <c r="AO28" t="inlineStr">
        <is>
          <t>记星</t>
        </is>
      </c>
      <c r="AP28"/>
    </row>
    <row r="29" ht="25.5" customHeight="1">
      <c r="A29" t="inlineStr">
        <is>
          <t>光帆 Lightwear 耳机</t>
        </is>
      </c>
      <c r="B29" t="inlineStr">
        <is>
          <t>P1</t>
        </is>
      </c>
      <c r="C29"/>
      <c r="D29" t="inlineStr">
        <is>
          <t>耳机, Ai</t>
        </is>
      </c>
      <c r="E29" t="inlineStr">
        <is>
          <t>参照品</t>
        </is>
      </c>
      <c r="F29" t="inlineStr">
        <is>
          <t>2025 年 12 月 23 日</t>
        </is>
      </c>
      <c r="G29" t="inlineStr">
        <is>
          <t>光帆科技</t>
        </is>
      </c>
      <c r="H29" s="2" t="str">
        <f>=HYPERLINK("https://www.guangfan.com/", "https://www.guangfan.com/")</f>
        <v>https://www.guangfan.com/</v>
      </c>
      <c r="I29" t="inlineStr">
        <is>
          <t>全球首款主打独立联网 + 视觉感知 + 主动 AI 助理</t>
        </is>
      </c>
      <c r="J29" t="inlineStr">
        <is>
          <t>中国</t>
        </is>
      </c>
      <c r="K29" t="inlineStr">
        <is>
          <t>商务人士、通勤族、户外爱好者、AI 尝鲜用户、独立设备需求者</t>
        </is>
      </c>
      <c r="L29" t="inlineStr">
        <is>
          <t>约 2000–3500 元（套装）</t>
        </is>
      </c>
      <c r="M29" t="inlineStr">
        <is>
          <t>光帆官网、电商平台、线下体验店</t>
        </is>
      </c>
      <c r="N29" t="inlineStr">
        <is>
          <t>预售订单1w+</t>
        </is>
      </c>
      <c r="O29" t="inlineStr">
        <is>
          <t>image.png,image.png</t>
        </is>
      </c>
      <c r="P29" t="inlineStr">
        <is>
          <t>白</t>
        </is>
      </c>
      <c r="Q29"/>
      <c r="R29" t="inlineStr">
        <is>
          <t>单耳 11g；耳机盒 + 手表≈200g</t>
        </is>
      </c>
      <c r="S29" t="inlineStr">
        <is>
          <t>SGS 舒适佩戴认证</t>
        </is>
      </c>
      <c r="T29" t="inlineStr">
        <is>
          <t>/</t>
        </is>
      </c>
      <c r="U29" t="inlineStr">
        <is>
          <t>/</t>
        </is>
      </c>
      <c r="V29" t="inlineStr">
        <is>
          <t>无本地存储；云端+耳机盒缓存</t>
        </is>
      </c>
      <c r="W29" t="inlineStr">
        <is>
          <t>/</t>
        </is>
      </c>
      <c r="X29" t="inlineStr">
        <is>
          <t>自研Lightware OS端云协同</t>
        </is>
      </c>
      <c r="Y29" t="inlineStr">
        <is>
          <t>开放式定向声场扬声器（防漏音）
双麦阵列；ENC 降噪（38dB）</t>
        </is>
      </c>
      <c r="Z29" t="inlineStr">
        <is>
          <t>4G eSIM+GPS独立联网</t>
        </is>
      </c>
      <c r="AA29" t="inlineStr">
        <is>
          <t>200 万像素双目摄像头（AI 感知，阅后即焚）</t>
        </is>
      </c>
      <c r="AB29" t="inlineStr">
        <is>
          <t>200张图像感知采集
9小时通话续航
15小时音乐续航
配合耳机盒可达90小时续航*</t>
        </is>
      </c>
      <c r="AC29" t="inlineStr">
        <is>
          <t>触摸传感器、佩戴检测传感器</t>
        </is>
      </c>
      <c r="AD29" t="inlineStr">
        <is>
          <t>韶音、歌尔（声学）、宁德时代（电池）、兆易创新、联想（投资 / 供应链）</t>
        </is>
      </c>
      <c r="AE29" t="inlineStr">
        <is>
          <t>全天候场景：选餐厅、找车位、定机酒、日程管理、购物比价、Ai速记、一眼开锁、Ai实时讲解、烹饪指导</t>
        </is>
      </c>
      <c r="AF29"/>
      <c r="AG29"/>
      <c r="AH29" t="inlineStr">
        <is>
          <t>科大讯飞</t>
        </is>
      </c>
      <c r="AI29" t="inlineStr">
        <is>
          <t>语音唤醒（预设唤醒词或日常对话式唤醒）、耳机触控盲操（双击、长按、三击对应不同功能），手表可盲触切换AI服务</t>
        </is>
      </c>
      <c r="AJ29" t="inlineStr">
        <is>
          <t>eSIM独立联网实用、不用带手机通话、视觉感知精准、续航够一周一充</t>
        </is>
      </c>
      <c r="AK29" t="inlineStr">
        <is>
          <t>摄像头隐私顾虑、支持的App少</t>
        </is>
      </c>
      <c r="AL29"/>
      <c r="AM29" t="inlineStr">
        <is>
          <t>手表显示辅助交互、情绪状态识别；耳机盒支持指纹解锁。</t>
        </is>
      </c>
      <c r="AN29"/>
      <c r="AO29" t="inlineStr">
        <is>
          <t>邓琤</t>
        </is>
      </c>
      <c r="AP29"/>
    </row>
    <row r="30" ht="25.5" customHeight="1">
      <c r="A30" t="inlineStr">
        <is>
          <t>COROS</t>
        </is>
      </c>
      <c r="B30" t="inlineStr">
        <is>
          <t>P1</t>
        </is>
      </c>
      <c r="C30"/>
      <c r="D30" t="inlineStr">
        <is>
          <t>智能手表</t>
        </is>
      </c>
      <c r="E30" t="inlineStr">
        <is>
          <t>间接竞品</t>
        </is>
      </c>
      <c r="F30"/>
      <c r="G30"/>
      <c r="H30" s="2"/>
      <c r="I30"/>
      <c r="J30"/>
      <c r="K30"/>
      <c r="L30"/>
      <c r="M30"/>
      <c r="N30"/>
      <c r="O30"/>
      <c r="P30"/>
      <c r="Q30"/>
      <c r="R30"/>
      <c r="S30"/>
      <c r="T30"/>
      <c r="U30"/>
      <c r="V30"/>
      <c r="W30"/>
      <c r="X30"/>
      <c r="Y30"/>
      <c r="Z30"/>
      <c r="AA30"/>
      <c r="AB30"/>
      <c r="AC30"/>
      <c r="AD30"/>
      <c r="AE30"/>
      <c r="AF30"/>
      <c r="AG30"/>
      <c r="AH30"/>
      <c r="AI30"/>
      <c r="AJ30"/>
      <c r="AK30"/>
      <c r="AL30"/>
      <c r="AM30"/>
      <c r="AN30"/>
      <c r="AO30"/>
      <c r="AP30"/>
    </row>
    <row r="31" ht="25.5" customHeight="1">
      <c r="A31" t="inlineStr">
        <is>
          <t>Garmin</t>
        </is>
      </c>
      <c r="B31" t="inlineStr">
        <is>
          <t>P1</t>
        </is>
      </c>
      <c r="C31"/>
      <c r="D31" t="inlineStr">
        <is>
          <t>智能手表</t>
        </is>
      </c>
      <c r="E31" t="inlineStr">
        <is>
          <t>间接竞品</t>
        </is>
      </c>
      <c r="F31"/>
      <c r="G31"/>
      <c r="H31" s="2" t="str">
        <f>=HYPERLINK("https://www.garmin.com/en-US/p/1462801/", "https://www.garmin.com/en-US/p/1462801/")</f>
        <v>https://www.garmin.com/en-US/p/1462801/</v>
      </c>
      <c r="I31"/>
      <c r="J31"/>
      <c r="K31"/>
      <c r="L31"/>
      <c r="M31"/>
      <c r="N31"/>
      <c r="O31"/>
      <c r="P31"/>
      <c r="Q31"/>
      <c r="R31"/>
      <c r="S31"/>
      <c r="T31"/>
      <c r="U31"/>
      <c r="V31"/>
      <c r="W31"/>
      <c r="X31"/>
      <c r="Y31"/>
      <c r="Z31"/>
      <c r="AA31"/>
      <c r="AB31"/>
      <c r="AC31"/>
      <c r="AD31"/>
      <c r="AE31"/>
      <c r="AF31"/>
      <c r="AG31"/>
      <c r="AH31"/>
      <c r="AI31"/>
      <c r="AJ31"/>
      <c r="AK31"/>
      <c r="AL31"/>
      <c r="AM31"/>
      <c r="AN31"/>
      <c r="AO31"/>
      <c r="AP31"/>
    </row>
    <row r="32" ht="25.5" customHeight="1">
      <c r="A32" t="inlineStr">
        <is>
          <t>SUUNTO</t>
        </is>
      </c>
      <c r="B32" t="inlineStr">
        <is>
          <t>P1</t>
        </is>
      </c>
      <c r="C32"/>
      <c r="D32" t="inlineStr">
        <is>
          <t>智能手表</t>
        </is>
      </c>
      <c r="E32" t="inlineStr">
        <is>
          <t>间接竞品</t>
        </is>
      </c>
      <c r="F32"/>
      <c r="G32"/>
      <c r="H32" s="2"/>
      <c r="I32"/>
      <c r="J32"/>
      <c r="K32"/>
      <c r="L32"/>
      <c r="M32"/>
      <c r="N32"/>
      <c r="O32"/>
      <c r="P32"/>
      <c r="Q32"/>
      <c r="R32"/>
      <c r="S32"/>
      <c r="T32"/>
      <c r="U32"/>
      <c r="V32"/>
      <c r="W32"/>
      <c r="X32"/>
      <c r="Y32"/>
      <c r="Z32"/>
      <c r="AA32"/>
      <c r="AB32"/>
      <c r="AC32"/>
      <c r="AD32"/>
      <c r="AE32"/>
      <c r="AF32"/>
      <c r="AG32"/>
      <c r="AH32"/>
      <c r="AI32"/>
      <c r="AJ32"/>
      <c r="AK32"/>
      <c r="AL32"/>
      <c r="AM32"/>
      <c r="AN32"/>
      <c r="AO32"/>
      <c r="AP32"/>
    </row>
    <row r="33" ht="25.5" customHeight="1">
      <c r="A33" t="inlineStr">
        <is>
          <t>INNOVV</t>
        </is>
      </c>
      <c r="B33" t="inlineStr">
        <is>
          <t>P2</t>
        </is>
      </c>
      <c r="C33"/>
      <c r="D33" t="inlineStr">
        <is>
          <t>行车记录仪</t>
        </is>
      </c>
      <c r="E33" t="inlineStr">
        <is>
          <t>参照品</t>
        </is>
      </c>
      <c r="F33"/>
      <c r="G33"/>
      <c r="H33" s="2"/>
      <c r="I33"/>
      <c r="J33"/>
      <c r="K33"/>
      <c r="L33"/>
      <c r="M33"/>
      <c r="N33"/>
      <c r="O33"/>
      <c r="P33"/>
      <c r="Q33"/>
      <c r="R33"/>
      <c r="S33"/>
      <c r="T33"/>
      <c r="U33"/>
      <c r="V33"/>
      <c r="W33"/>
      <c r="X33"/>
      <c r="Y33"/>
      <c r="Z33"/>
      <c r="AA33"/>
      <c r="AB33"/>
      <c r="AC33"/>
      <c r="AD33"/>
      <c r="AE33"/>
      <c r="AF33"/>
      <c r="AG33"/>
      <c r="AH33"/>
      <c r="AI33"/>
      <c r="AJ33"/>
      <c r="AK33"/>
      <c r="AL33"/>
      <c r="AM33"/>
      <c r="AN33"/>
      <c r="AO33"/>
      <c r="AP33"/>
    </row>
    <row r="34" ht="25.5" customHeight="1">
      <c r="A34" t="inlineStr">
        <is>
          <t>盯盯拍 摩托车记录仪</t>
        </is>
      </c>
      <c r="B34" t="inlineStr">
        <is>
          <t>P2</t>
        </is>
      </c>
      <c r="C34"/>
      <c r="D34" t="inlineStr">
        <is>
          <t>行车记录仪</t>
        </is>
      </c>
      <c r="E34" t="inlineStr">
        <is>
          <t>参照品</t>
        </is>
      </c>
      <c r="F34"/>
      <c r="G34"/>
      <c r="H34" s="2"/>
      <c r="I34"/>
      <c r="J34"/>
      <c r="K34"/>
      <c r="L34"/>
      <c r="M34"/>
      <c r="N34"/>
      <c r="O34"/>
      <c r="P34"/>
      <c r="Q34"/>
      <c r="R34"/>
      <c r="S34"/>
      <c r="T34"/>
      <c r="U34"/>
      <c r="V34"/>
      <c r="W34"/>
      <c r="X34"/>
      <c r="Y34"/>
      <c r="Z34"/>
      <c r="AA34"/>
      <c r="AB34"/>
      <c r="AC34"/>
      <c r="AD34"/>
      <c r="AE34"/>
      <c r="AF34"/>
      <c r="AG34"/>
      <c r="AH34"/>
      <c r="AI34"/>
      <c r="AJ34"/>
      <c r="AK34"/>
      <c r="AL34"/>
      <c r="AM34"/>
      <c r="AN34"/>
      <c r="AO34"/>
      <c r="AP34"/>
    </row>
    <row r="35" ht="25.5" customHeight="1">
      <c r="A35" t="inlineStr">
        <is>
          <t>Chigee（骑技）</t>
        </is>
      </c>
      <c r="B35" t="inlineStr">
        <is>
          <t>P2</t>
        </is>
      </c>
      <c r="C35"/>
      <c r="D35" t="inlineStr">
        <is>
          <t>行车记录仪, 车机</t>
        </is>
      </c>
      <c r="E35" t="inlineStr">
        <is>
          <t>参照品</t>
        </is>
      </c>
      <c r="F35"/>
      <c r="G35"/>
      <c r="H35" s="2"/>
      <c r="I35"/>
      <c r="J35"/>
      <c r="K35"/>
      <c r="L35"/>
      <c r="M35"/>
      <c r="N35"/>
      <c r="O35"/>
      <c r="P35"/>
      <c r="Q35"/>
      <c r="R35"/>
      <c r="S35"/>
      <c r="T35"/>
      <c r="U35"/>
      <c r="V35"/>
      <c r="W35"/>
      <c r="X35"/>
      <c r="Y35"/>
      <c r="Z35"/>
      <c r="AA35"/>
      <c r="AB35"/>
      <c r="AC35"/>
      <c r="AD35"/>
      <c r="AE35"/>
      <c r="AF35"/>
      <c r="AG35"/>
      <c r="AH35"/>
      <c r="AI35"/>
      <c r="AJ35"/>
      <c r="AK35"/>
      <c r="AL35"/>
      <c r="AM35"/>
      <c r="AN35"/>
      <c r="AO35"/>
      <c r="AP35"/>
    </row>
    <row r="36" ht="25.5" customHeight="1">
      <c r="A36"/>
      <c r="B36"/>
      <c r="C36"/>
      <c r="D36"/>
      <c r="E36"/>
      <c r="F36"/>
      <c r="G36"/>
      <c r="H36" s="2"/>
      <c r="I36"/>
      <c r="J36"/>
      <c r="K36"/>
      <c r="L36"/>
      <c r="M36"/>
      <c r="N36"/>
      <c r="O36"/>
      <c r="P36"/>
      <c r="Q36"/>
      <c r="R36"/>
      <c r="S36"/>
      <c r="T36"/>
      <c r="U36"/>
      <c r="V36"/>
      <c r="W36"/>
      <c r="X36"/>
      <c r="Y36"/>
      <c r="Z36"/>
      <c r="AA36"/>
      <c r="AB36"/>
      <c r="AC36"/>
      <c r="AD36"/>
      <c r="AE36"/>
      <c r="AF36"/>
      <c r="AG36"/>
      <c r="AH36"/>
      <c r="AI36"/>
      <c r="AJ36"/>
      <c r="AK36"/>
      <c r="AL36"/>
      <c r="AM36"/>
      <c r="AN36"/>
      <c r="AO36"/>
      <c r="AP36"/>
    </row>
    <row r="37" ht="25.5" customHeight="1">
      <c r="A37"/>
      <c r="B37"/>
      <c r="C37"/>
      <c r="D37"/>
      <c r="E37"/>
      <c r="F37"/>
      <c r="G37"/>
      <c r="H37" s="2"/>
      <c r="I37"/>
      <c r="J37"/>
      <c r="K37"/>
      <c r="L37"/>
      <c r="M37"/>
      <c r="N37"/>
      <c r="O37"/>
      <c r="P37"/>
      <c r="Q37"/>
      <c r="R37"/>
      <c r="S37"/>
      <c r="T37"/>
      <c r="U37"/>
      <c r="V37"/>
      <c r="W37"/>
      <c r="X37"/>
      <c r="Y37"/>
      <c r="Z37"/>
      <c r="AA37"/>
      <c r="AB37"/>
      <c r="AC37"/>
      <c r="AD37"/>
      <c r="AE37"/>
      <c r="AF37"/>
      <c r="AG37"/>
      <c r="AH37"/>
      <c r="AI37"/>
      <c r="AJ37"/>
      <c r="AK37"/>
      <c r="AL37"/>
      <c r="AM37"/>
      <c r="AN37"/>
      <c r="AO37"/>
      <c r="AP37"/>
    </row>
  </sheetData>
  <dataValidations count="1">
    <dataValidation allowBlank="false" sqref="B2:B36" type="list">
      <formula1>"P0,P1,P2"</formula1>
    </dataValidation>
  </dataValidations>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s>
  <sheetData>
    <row r="1" ht="13" customHeight="1">
      <c r="A1" s="1" t="inlineStr">
        <is>
          <t>产品名称（含型号）</t>
        </is>
      </c>
      <c r="B1" s="1" t="inlineStr">
        <is>
          <t>调研优先级</t>
        </is>
      </c>
      <c r="C1" s="1" t="inlineStr">
        <is>
          <t>上市时间</t>
        </is>
      </c>
      <c r="D1" s="1" t="inlineStr">
        <is>
          <t>品牌</t>
        </is>
      </c>
      <c r="E1" s="1" t="inlineStr">
        <is>
          <t>产品站/官网</t>
        </is>
      </c>
      <c r="F1" s="1" t="inlineStr">
        <is>
          <t>核心卖点</t>
        </is>
      </c>
      <c r="G1" s="1" t="inlineStr">
        <is>
          <t>目标人群</t>
        </is>
      </c>
      <c r="H1" s="1" t="inlineStr">
        <is>
          <t>主销区域/国家</t>
        </is>
      </c>
      <c r="I1" s="1" t="inlineStr">
        <is>
          <t>售价</t>
        </is>
      </c>
      <c r="J1" s="1" t="inlineStr">
        <is>
          <t>销售渠道</t>
        </is>
      </c>
      <c r="K1" s="1" t="inlineStr">
        <is>
          <t>ID设计</t>
        </is>
      </c>
      <c r="L1" s="1" t="inlineStr">
        <is>
          <t>核心功能</t>
        </is>
      </c>
      <c r="M1" s="1" t="inlineStr">
        <is>
          <t>材质</t>
        </is>
      </c>
      <c r="N1" s="1" t="inlineStr">
        <is>
          <t>重量</t>
        </is>
      </c>
      <c r="O1" s="1" t="inlineStr">
        <is>
          <t>核心好评</t>
        </is>
      </c>
      <c r="P1" s="1" t="inlineStr">
        <is>
          <t>核心差评</t>
        </is>
      </c>
      <c r="Q1" s="1" t="inlineStr">
        <is>
          <t>其他资料链接</t>
        </is>
      </c>
      <c r="R1" s="1" t="inlineStr">
        <is>
          <t>总结和建议</t>
        </is>
      </c>
      <c r="S1" s="1" t="inlineStr">
        <is>
          <t>调研人员</t>
        </is>
      </c>
    </row>
    <row r="2" ht="25.5" customHeight="1">
      <c r="A2"/>
      <c r="B2"/>
      <c r="C2" s="3"/>
      <c r="D2"/>
      <c r="E2" s="2"/>
      <c r="F2"/>
      <c r="G2"/>
      <c r="H2"/>
      <c r="I2"/>
      <c r="J2"/>
      <c r="K2"/>
      <c r="L2"/>
      <c r="M2"/>
      <c r="N2"/>
      <c r="O2"/>
      <c r="P2"/>
      <c r="Q2" s="2"/>
      <c r="R2"/>
      <c r="S2"/>
    </row>
    <row r="3" ht="25.5" customHeight="1">
      <c r="A3"/>
      <c r="B3"/>
      <c r="C3" s="3"/>
      <c r="D3"/>
      <c r="E3" s="2"/>
      <c r="F3"/>
      <c r="G3"/>
      <c r="H3"/>
      <c r="I3"/>
      <c r="J3"/>
      <c r="K3"/>
      <c r="L3"/>
      <c r="M3"/>
      <c r="N3"/>
      <c r="O3"/>
      <c r="P3"/>
      <c r="Q3" s="2"/>
      <c r="R3"/>
      <c r="S3"/>
    </row>
    <row r="4" ht="25.5" customHeight="1">
      <c r="A4"/>
      <c r="B4"/>
      <c r="C4" s="3"/>
      <c r="D4"/>
      <c r="E4" s="2"/>
      <c r="F4"/>
      <c r="G4"/>
      <c r="H4"/>
      <c r="I4"/>
      <c r="J4"/>
      <c r="K4"/>
      <c r="L4"/>
      <c r="M4"/>
      <c r="N4"/>
      <c r="O4"/>
      <c r="P4"/>
      <c r="Q4" s="2"/>
      <c r="R4"/>
      <c r="S4"/>
    </row>
    <row r="5" ht="25.5" customHeight="1">
      <c r="A5"/>
      <c r="B5"/>
      <c r="C5" s="3"/>
      <c r="D5"/>
      <c r="E5" s="2"/>
      <c r="F5"/>
      <c r="G5"/>
      <c r="H5"/>
      <c r="I5"/>
      <c r="J5"/>
      <c r="K5"/>
      <c r="L5"/>
      <c r="M5"/>
      <c r="N5"/>
      <c r="O5"/>
      <c r="P5"/>
      <c r="Q5" s="2"/>
      <c r="R5"/>
      <c r="S5"/>
    </row>
    <row r="6" ht="25.5" customHeight="1">
      <c r="A6"/>
      <c r="B6"/>
      <c r="C6" s="3"/>
      <c r="D6"/>
      <c r="E6" s="2"/>
      <c r="F6"/>
      <c r="G6"/>
      <c r="H6"/>
      <c r="I6"/>
      <c r="J6"/>
      <c r="K6"/>
      <c r="L6"/>
      <c r="M6"/>
      <c r="N6"/>
      <c r="O6"/>
      <c r="P6"/>
      <c r="Q6" s="2"/>
      <c r="R6"/>
      <c r="S6"/>
    </row>
    <row r="7" ht="25.5" customHeight="1">
      <c r="A7"/>
      <c r="B7"/>
      <c r="C7" s="3"/>
      <c r="D7"/>
      <c r="E7" s="2"/>
      <c r="F7"/>
      <c r="G7"/>
      <c r="H7"/>
      <c r="I7"/>
      <c r="J7"/>
      <c r="K7"/>
      <c r="L7"/>
      <c r="M7"/>
      <c r="N7"/>
      <c r="O7"/>
      <c r="P7"/>
      <c r="Q7" s="2"/>
      <c r="R7"/>
      <c r="S7"/>
    </row>
    <row r="8" ht="25.5" customHeight="1">
      <c r="A8"/>
      <c r="B8"/>
      <c r="C8" s="3"/>
      <c r="D8"/>
      <c r="E8" s="2"/>
      <c r="F8"/>
      <c r="G8"/>
      <c r="H8"/>
      <c r="I8"/>
      <c r="J8"/>
      <c r="K8"/>
      <c r="L8"/>
      <c r="M8"/>
      <c r="N8"/>
      <c r="O8"/>
      <c r="P8"/>
      <c r="Q8" s="2"/>
      <c r="R8"/>
      <c r="S8"/>
    </row>
    <row r="9" ht="25.5" customHeight="1">
      <c r="A9"/>
      <c r="B9"/>
      <c r="C9" s="3"/>
      <c r="D9"/>
      <c r="E9" s="2"/>
      <c r="F9"/>
      <c r="G9"/>
      <c r="H9"/>
      <c r="I9"/>
      <c r="J9"/>
      <c r="K9"/>
      <c r="L9"/>
      <c r="M9"/>
      <c r="N9"/>
      <c r="O9"/>
      <c r="P9"/>
      <c r="Q9" s="2"/>
      <c r="R9"/>
      <c r="S9"/>
    </row>
    <row r="10" ht="25.5" customHeight="1">
      <c r="A10"/>
      <c r="B10"/>
      <c r="C10" s="3"/>
      <c r="D10"/>
      <c r="E10" s="2"/>
      <c r="F10"/>
      <c r="G10"/>
      <c r="H10"/>
      <c r="I10"/>
      <c r="J10"/>
      <c r="K10"/>
      <c r="L10"/>
      <c r="M10"/>
      <c r="N10"/>
      <c r="O10"/>
      <c r="P10"/>
      <c r="Q10" s="2"/>
      <c r="R10"/>
      <c r="S10"/>
    </row>
    <row r="11" ht="25.5" customHeight="1">
      <c r="A11"/>
      <c r="B11"/>
      <c r="C11" s="3"/>
      <c r="D11"/>
      <c r="E11" s="2"/>
      <c r="F11"/>
      <c r="G11"/>
      <c r="H11"/>
      <c r="I11"/>
      <c r="J11"/>
      <c r="K11"/>
      <c r="L11"/>
      <c r="M11"/>
      <c r="N11"/>
      <c r="O11"/>
      <c r="P11"/>
      <c r="Q11" s="2"/>
      <c r="R11"/>
      <c r="S11"/>
    </row>
  </sheetData>
  <dataValidations count="1">
    <dataValidation allowBlank="false" sqref="B2:B10" type="list">
      <formula1>"P0,P1,P2"</formula1>
    </dataValidation>
  </dataValidation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